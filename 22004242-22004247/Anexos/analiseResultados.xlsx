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22004242_22004247/"/>
    </mc:Choice>
  </mc:AlternateContent>
  <xr:revisionPtr revIDLastSave="0" documentId="13_ncr:1_{BF2A5AC4-C441-5C42-B825-075B7C1E689A}" xr6:coauthVersionLast="47" xr6:coauthVersionMax="47" xr10:uidLastSave="{00000000-0000-0000-0000-000000000000}"/>
  <bookViews>
    <workbookView xWindow="0" yWindow="500" windowWidth="51200" windowHeight="19580" activeTab="3" xr2:uid="{00000000-000D-0000-FFFF-FFFF00000000}"/>
  </bookViews>
  <sheets>
    <sheet name="Dados Demográficos-Amostra" sheetId="1" r:id="rId1"/>
    <sheet name="Dicionário de Variáveis" sheetId="2" r:id="rId2"/>
    <sheet name="Questionário Satisfação" sheetId="3" r:id="rId3"/>
    <sheet name="Grelha" sheetId="4" r:id="rId4"/>
    <sheet name="Folha6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4" l="1"/>
  <c r="F39" i="4"/>
  <c r="E39" i="4"/>
  <c r="D39" i="4"/>
  <c r="C39" i="4"/>
  <c r="B39" i="4"/>
  <c r="F38" i="4"/>
  <c r="E38" i="4"/>
  <c r="D38" i="4"/>
  <c r="C38" i="4"/>
  <c r="B38" i="4"/>
  <c r="E37" i="4"/>
  <c r="F37" i="4"/>
  <c r="D37" i="4"/>
  <c r="C37" i="4"/>
  <c r="B37" i="4"/>
  <c r="C36" i="4"/>
  <c r="E36" i="4"/>
  <c r="F36" i="4"/>
  <c r="D36" i="4"/>
  <c r="B36" i="4"/>
  <c r="F35" i="4"/>
  <c r="E35" i="4"/>
  <c r="D35" i="4"/>
  <c r="C35" i="4"/>
  <c r="B35" i="4"/>
  <c r="E34" i="4"/>
  <c r="D34" i="4"/>
  <c r="C34" i="4"/>
  <c r="B34" i="4"/>
  <c r="F31" i="4"/>
  <c r="F32" i="4"/>
  <c r="F33" i="4"/>
  <c r="E31" i="4"/>
  <c r="E32" i="4"/>
  <c r="E33" i="4"/>
  <c r="D33" i="4"/>
  <c r="C31" i="4"/>
  <c r="C32" i="4"/>
  <c r="C33" i="4"/>
  <c r="B33" i="4"/>
  <c r="D32" i="4"/>
  <c r="B32" i="4"/>
  <c r="D31" i="4"/>
  <c r="B31" i="4"/>
  <c r="Y6" i="3"/>
  <c r="Z6" i="3"/>
  <c r="R6" i="3"/>
  <c r="S6" i="3"/>
  <c r="T6" i="3"/>
  <c r="U6" i="3"/>
  <c r="V6" i="3"/>
  <c r="W6" i="3"/>
  <c r="X6" i="3"/>
  <c r="R5" i="3"/>
  <c r="S5" i="3"/>
  <c r="T5" i="3"/>
  <c r="U5" i="3"/>
  <c r="V5" i="3"/>
  <c r="W5" i="3"/>
  <c r="X5" i="3"/>
  <c r="Y5" i="3"/>
  <c r="Z5" i="3"/>
  <c r="R4" i="3"/>
  <c r="S4" i="3"/>
  <c r="T4" i="3"/>
  <c r="U4" i="3"/>
  <c r="V4" i="3"/>
  <c r="W4" i="3"/>
  <c r="X4" i="3"/>
  <c r="Y4" i="3"/>
  <c r="Z4" i="3"/>
  <c r="R3" i="3"/>
  <c r="S3" i="3"/>
  <c r="T3" i="3"/>
  <c r="U3" i="3"/>
  <c r="V3" i="3"/>
  <c r="W3" i="3"/>
  <c r="X3" i="3"/>
  <c r="Y3" i="3"/>
  <c r="Z3" i="3"/>
  <c r="S2" i="3"/>
  <c r="T2" i="3"/>
  <c r="U2" i="3"/>
  <c r="V2" i="3"/>
  <c r="W2" i="3"/>
  <c r="X2" i="3"/>
  <c r="Y2" i="3"/>
  <c r="Z2" i="3"/>
  <c r="R2" i="3"/>
  <c r="Q6" i="3"/>
  <c r="Q5" i="3"/>
  <c r="Q4" i="3"/>
  <c r="Q3" i="3"/>
  <c r="Q2" i="3"/>
  <c r="D18" i="3"/>
  <c r="D17" i="3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D17" i="4"/>
  <c r="E17" i="4" s="1"/>
  <c r="B18" i="4"/>
  <c r="B17" i="4"/>
  <c r="C17" i="4" s="1"/>
  <c r="F17" i="4"/>
  <c r="G17" i="4" s="1"/>
  <c r="R18" i="4"/>
  <c r="S18" i="4" s="1"/>
  <c r="R17" i="4"/>
  <c r="S17" i="4" s="1"/>
  <c r="P18" i="4"/>
  <c r="Q18" i="4" s="1"/>
  <c r="N18" i="4"/>
  <c r="O18" i="4" s="1"/>
  <c r="P17" i="4"/>
  <c r="Q17" i="4" s="1"/>
  <c r="L18" i="4"/>
  <c r="M18" i="4" s="1"/>
  <c r="N17" i="4"/>
  <c r="O17" i="4" s="1"/>
  <c r="L17" i="4"/>
  <c r="M17" i="4" s="1"/>
  <c r="J18" i="4"/>
  <c r="J17" i="4"/>
  <c r="H18" i="4"/>
  <c r="I18" i="4" s="1"/>
  <c r="H17" i="4"/>
  <c r="I17" i="4" s="1"/>
  <c r="F18" i="4"/>
  <c r="G18" i="4" s="1"/>
  <c r="D18" i="4"/>
  <c r="E18" i="4" s="1"/>
  <c r="F18" i="1"/>
  <c r="F19" i="1"/>
  <c r="E19" i="1"/>
  <c r="E18" i="1"/>
  <c r="B13" i="1"/>
  <c r="B14" i="1"/>
  <c r="K13" i="3"/>
  <c r="J13" i="3"/>
  <c r="I13" i="3"/>
  <c r="H13" i="3"/>
  <c r="G13" i="3"/>
  <c r="F13" i="3"/>
  <c r="E13" i="3"/>
  <c r="D13" i="3"/>
  <c r="D12" i="3"/>
  <c r="C12" i="3"/>
  <c r="B12" i="3"/>
  <c r="K12" i="3"/>
  <c r="J12" i="3"/>
  <c r="I12" i="3"/>
  <c r="H12" i="3"/>
  <c r="G12" i="3"/>
  <c r="F12" i="3"/>
  <c r="E12" i="3"/>
  <c r="C13" i="3"/>
  <c r="B13" i="3"/>
  <c r="K24" i="4" l="1"/>
  <c r="K25" i="4"/>
  <c r="T18" i="4"/>
  <c r="T17" i="4"/>
  <c r="K17" i="4"/>
  <c r="K18" i="4"/>
  <c r="P19" i="4"/>
  <c r="S19" i="4"/>
  <c r="R19" i="4"/>
  <c r="Q19" i="4"/>
  <c r="N19" i="4"/>
  <c r="O19" i="4"/>
  <c r="M19" i="4"/>
  <c r="L19" i="4"/>
  <c r="D19" i="4"/>
  <c r="F19" i="4"/>
  <c r="H19" i="4"/>
  <c r="J19" i="4"/>
  <c r="B19" i="4"/>
  <c r="T19" i="4" l="1"/>
  <c r="U17" i="4" s="1"/>
  <c r="K19" i="4"/>
  <c r="E19" i="4"/>
  <c r="G19" i="4"/>
  <c r="I19" i="4"/>
  <c r="C18" i="4"/>
  <c r="U18" i="4" l="1"/>
  <c r="U19" i="4" s="1"/>
  <c r="C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tc={A24B4067-1866-4828-A8CC-361A7DBCAA15}</author>
    <author>tc={A4CE4987-754A-3B44-8691-FDF0B1F91416}</author>
    <author>Reviewer</author>
  </authors>
  <commentList>
    <comment ref="B2" authorId="0" shapeId="0" xr:uid="{A24B4067-1866-4828-A8CC-361A7DBCAA1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Consultem o dicionário de variáveis</t>
      </text>
    </comment>
    <comment ref="U16" authorId="1" shapeId="0" xr:uid="{A4CE4987-754A-3B44-8691-FDF0B1F91416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Alterei após  aula de 4 de Janeiro</t>
      </text>
    </comment>
    <comment ref="B17" authorId="2" shapeId="0" xr:uid="{3D1DC88B-04E3-4D41-95E6-5F5693E8FD00}">
      <text>
        <r>
          <rPr>
            <b/>
            <sz val="9"/>
            <color rgb="FF000000"/>
            <rFont val="Tahoma"/>
            <family val="2"/>
          </rPr>
          <t>Reviewer: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Adaptem a fórmula para os restantes momentos.</t>
        </r>
      </text>
    </comment>
  </commentList>
</comments>
</file>

<file path=xl/sharedStrings.xml><?xml version="1.0" encoding="utf-8"?>
<sst xmlns="http://schemas.openxmlformats.org/spreadsheetml/2006/main" count="260" uniqueCount="116">
  <si>
    <t>Idade</t>
  </si>
  <si>
    <t>ID</t>
  </si>
  <si>
    <t>M</t>
  </si>
  <si>
    <t>DP</t>
  </si>
  <si>
    <t>Género</t>
  </si>
  <si>
    <t>Masculino</t>
  </si>
  <si>
    <t>Feminino</t>
  </si>
  <si>
    <t>N</t>
  </si>
  <si>
    <t>%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</si>
  <si>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</si>
  <si>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</si>
  <si>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</si>
  <si>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</si>
  <si>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</si>
  <si>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</si>
  <si>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</si>
  <si>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</si>
  <si>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</si>
  <si>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</si>
  <si>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Questionário</t>
  </si>
  <si>
    <t>Escala de resposta</t>
  </si>
  <si>
    <t>Discordo fortemente</t>
  </si>
  <si>
    <t>Discordo</t>
  </si>
  <si>
    <t>Não concordo nem discordo</t>
  </si>
  <si>
    <t>Concordo</t>
  </si>
  <si>
    <t>Concordo fortemente</t>
  </si>
  <si>
    <t>Total Questionário</t>
  </si>
  <si>
    <t>* inverter itens se necessário</t>
  </si>
  <si>
    <t>Got it</t>
  </si>
  <si>
    <t>Got it Behavior</t>
  </si>
  <si>
    <t xml:space="preserve">Got it </t>
  </si>
  <si>
    <t>Don’t got it</t>
  </si>
  <si>
    <t>total</t>
  </si>
  <si>
    <t>Experiência</t>
  </si>
  <si>
    <t>Total</t>
  </si>
  <si>
    <t>Grelha de Observação</t>
  </si>
  <si>
    <t>Respostas - Got it Behavior</t>
  </si>
  <si>
    <t>Muito má</t>
  </si>
  <si>
    <t>Muito boa</t>
  </si>
  <si>
    <t>Respostas - Experiência</t>
  </si>
  <si>
    <t>Don't got it</t>
  </si>
  <si>
    <t>Momento 1</t>
  </si>
  <si>
    <t>Momento 2</t>
  </si>
  <si>
    <t>Momento 3</t>
  </si>
  <si>
    <t>Momento 4</t>
  </si>
  <si>
    <t>Momento 5</t>
  </si>
  <si>
    <t>aspectos mais negativos</t>
  </si>
  <si>
    <t>positivos</t>
  </si>
  <si>
    <t>Momento 6</t>
  </si>
  <si>
    <t>Dados qualitativos</t>
  </si>
  <si>
    <t xml:space="preserve">Alteracao do Menu de Navegação para facilitar a mudança de cinemas para filmes </t>
  </si>
  <si>
    <t>Bom Design/aspeto em geral da aplicação</t>
  </si>
  <si>
    <t>Facilidade de utilização para utilizadores jovens</t>
  </si>
  <si>
    <t xml:space="preserve">Tamanho de letra deveria ser um pouco maior </t>
  </si>
  <si>
    <t>Facilidade de mexer na aplicação</t>
  </si>
  <si>
    <t xml:space="preserve">Não é muito intuitivo para quem utiliza uma primeira vez </t>
  </si>
  <si>
    <t>O design e sobretudo as cores são apelativas</t>
  </si>
  <si>
    <t xml:space="preserve">Como utilizador desconhecia que podia pesquisar um cinema atraves do clique no botao filtros </t>
  </si>
  <si>
    <t xml:space="preserve">Como gosto pessoal não gostei do esquema de cores entre o vermelho e o preto perante a APP </t>
  </si>
  <si>
    <t xml:space="preserve">Gostei de poder avaliar um filme e poder ordernar os filmes existentes conforme a pontuação </t>
  </si>
  <si>
    <t xml:space="preserve">É possível visualizar os cinemas no proprio mapa que facilita extrair a localização do cinema pretendido </t>
  </si>
  <si>
    <t>O botão de classificação do cinema está um pouco escondido.</t>
  </si>
  <si>
    <t>Está bem estruturado</t>
  </si>
  <si>
    <t>Pouco explicita e dificil de intrepretar a possiblidade de ter um modo de filtragem de cinemas</t>
  </si>
  <si>
    <t>design da app agradavel e estruturado</t>
  </si>
  <si>
    <t>secção titulada de observações acerca do cinema entende-se mal mudaria para comentários</t>
  </si>
  <si>
    <t>explicitar melhor os links existentes</t>
  </si>
  <si>
    <t>rapido e facil de compreender</t>
  </si>
  <si>
    <t>formatação das imagens nos filmes em exibição, cor e tamanho da letra</t>
  </si>
  <si>
    <t>organização, desempenho da app</t>
  </si>
  <si>
    <t xml:space="preserve">Ao submeter a avaliação as letras cujo informam a data e a hora de submissão encontram-se com má cor de contraste </t>
  </si>
  <si>
    <t>Bem estruturado</t>
  </si>
  <si>
    <t>cores da aplicação</t>
  </si>
  <si>
    <t>letras maiores</t>
  </si>
  <si>
    <t>facilidade de navegação</t>
  </si>
  <si>
    <t>variada informação</t>
  </si>
  <si>
    <t>Neste protótipo posso facilmente ver as atividades que posso realizar</t>
  </si>
  <si>
    <t>Os nomes estão muito adequados à informação disponível e às ações que eu possa fazer</t>
  </si>
  <si>
    <t>O desenho gráfico dos ecrãs é</t>
  </si>
  <si>
    <t>Em caso de erro, existe suporte na aplicação que me ajude a resolver o problema</t>
  </si>
  <si>
    <t>As cores utilizadas permitem uma fácil leitura</t>
  </si>
  <si>
    <t>Facilidade de voltar ao ecrã anterior</t>
  </si>
  <si>
    <t>Os ícones utilizados são de fácil compreensão</t>
  </si>
  <si>
    <t>Tamanho da letra</t>
  </si>
  <si>
    <t>Aspecto geral dos ecrãs</t>
  </si>
  <si>
    <t>Com base apenas naquilo que experimentei e vi hoje acredito que a [APP CinemasPT] vai ser muito simples de utilizar no futuro</t>
  </si>
  <si>
    <t>Encontre os cinemas disponíveis em Portugal por formato Lista na página cinemas..Escreva o número total de cinemas registados da lista:</t>
  </si>
  <si>
    <t>Momento 7</t>
  </si>
  <si>
    <t>Momento 8</t>
  </si>
  <si>
    <t>Momento 9</t>
  </si>
  <si>
    <t>Escreva a reposta da Ajuda perante a pergunta “Quais os sistemas operativos suportados” na página ajuda. Encontre o tópico relacionado com esta pergunta e escreva a resposta da pergunta feita</t>
  </si>
  <si>
    <t>Encontre os comentarios acerca do cinemCascaisShooping. Escreva o utilizador que comentou e o que comentou acerca do cinema</t>
  </si>
  <si>
    <t>Avalie o filme “Top Gun” na página detalhes dos filmes.</t>
  </si>
  <si>
    <t>Encontre o Filme “Top Gun” e digite o género do filme na página filmes em exibição.</t>
  </si>
  <si>
    <t>Avalie o Cinema CascaisShopping na página detalhes do cinema.</t>
  </si>
  <si>
    <t>Procure o cartaz do Cinema CascaisShopping na página detalhes do cinema</t>
  </si>
  <si>
    <t>Encontre os cinemas disponíveis em Portugal por formato Mapa na página cinemas.</t>
  </si>
  <si>
    <t>Encontre um cinema específico na Lista e escreva o seu horário de funcionamento na página detalhes do cinema.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</si>
  <si>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</si>
  <si>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</si>
  <si>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</si>
  <si>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</si>
  <si>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</si>
  <si>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</si>
  <si>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</si>
  <si>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</si>
  <si>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</si>
  <si>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</si>
  <si>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Got It</t>
  </si>
  <si>
    <t>Don´t Got it</t>
  </si>
  <si>
    <t>Momentos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</si>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</sst>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9"/>
      <color theme="1"/>
      <name val="Helvetica"/>
      <family val="2"/>
    </font>
    <font>
      <sz val="16"/>
      <color rgb="FF000000"/>
      <name val="Inherit"/>
    </font>
    <font>
      <sz val="16"/>
      <color theme="1"/>
      <name val="Helvetica Neue"/>
      <family val="2"/>
    </font>
    <font>
      <sz val="12"/>
      <color theme="1"/>
      <name val="Helvetica Neue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0" fillId="3" borderId="1" xfId="0" applyFill="1" applyBorder="1"/>
    <xf numFmtId="0" fontId="1" fillId="0" borderId="1" xfId="0" applyFont="1" applyBorder="1" applyAlignment="1">
      <alignment horizontal="right"/>
    </xf>
    <xf numFmtId="0" fontId="13" fillId="0" borderId="0" xfId="0" applyFont="1"/>
    <xf numFmtId="0" fontId="13" fillId="0" borderId="1" xfId="0" applyFont="1" applyBorder="1"/>
    <xf numFmtId="0" fontId="13" fillId="4" borderId="10" xfId="0" applyFont="1" applyFill="1" applyBorder="1"/>
    <xf numFmtId="0" fontId="13" fillId="0" borderId="11" xfId="0" applyFont="1" applyBorder="1"/>
    <xf numFmtId="0" fontId="13" fillId="4" borderId="12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5" borderId="2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Idade dos</a:t>
            </a:r>
            <a:r>
              <a:rPr lang="pt-PT" baseline="0"/>
              <a:t> Participantes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'Dados Demográficos-Amostra'!$B$1:$B$2</c:f>
              <c:strCache>
                <c:ptCount val="2"/>
                <c:pt idx="0">
                  <c:v>Idade</c:v>
                </c:pt>
                <c:pt idx="1">
                  <c:v>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'Dados Demográficos-Amostra'!$A$3:$A$14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M</c:v>
                </c:pt>
                <c:pt idx="11">
                  <c:v>DP</c:v>
                </c:pt>
              </c:strCache>
            </c:strRef>
          </c:cat>
          <c:val>
            <c:numRef>
              <c:f>'Dados Demográficos-Amostra'!$B$3:$B$14</c:f>
              <c:numCache>
                <c:formatCode>General</c:formatCode>
                <c:ptCount val="12"/>
                <c:pt idx="0">
                  <c:v>18</c:v>
                </c:pt>
                <c:pt idx="1">
                  <c:v>18</c:v>
                </c:pt>
                <c:pt idx="2">
                  <c:v>49</c:v>
                </c:pt>
                <c:pt idx="3">
                  <c:v>50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21</c:v>
                </c:pt>
                <c:pt idx="8">
                  <c:v>14</c:v>
                </c:pt>
                <c:pt idx="9">
                  <c:v>48</c:v>
                </c:pt>
                <c:pt idx="10">
                  <c:v>27.8</c:v>
                </c:pt>
                <c:pt idx="11">
                  <c:v>14.763317904710838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4-BA49-83CF-5BB563F8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2818287"/>
        <c:axId val="442598767"/>
        <c:axId val="0"/>
      </c:bar3DChart>
      <c:catAx>
        <c:axId val="47281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2598767"/>
        <c:crosses val="autoZero"/>
        <c:auto val="1"/>
        <c:lblAlgn val="ctr"/>
        <c:lblOffset val="100"/>
        <c:noMultiLvlLbl val="0"/>
      </c:catAx>
      <c:valAx>
        <c:axId val="44259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281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Género dos Participantes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EC-C348-9406-E1B5E0C955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EC-C348-9406-E1B5E0C95511}"/>
              </c:ext>
            </c:extLst>
          </c:dPt>
          <c:cat>
            <c:strRef>
              <c:f>'Dados Demográficos-Amostra'!$D$18:$D$19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'Dados Demográficos-Amostra'!$F$18:$F$19</c:f>
              <c:numCache>
                <c:formatCode>General</c:formatCode>
                <c:ptCount val="2"/>
                <c:pt idx="0">
                  <c:v>40</c:v>
                </c:pt>
                <c:pt idx="1">
                  <c:v>60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0933-D842-9186-BC7A1B929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'Dicionário de Variáveis'!$B$18</c:f>
              <c:strCache>
                <c:ptCount val="1"/>
                <c:pt idx="0">
                  <c:v>Discordo fortemente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'Dicionário de Variáveis'!$B$6:$B$15</c:f>
              <c:strCache>
                <c:ptCount val="10"/>
                <c:pt idx="0">
                  <c:v>Neste protótipo posso facilmente ver as atividades que posso realizar</c:v>
                </c:pt>
                <c:pt idx="1">
                  <c:v>Os nomes estão muito adequados à informação disponível e às ações que eu possa fazer</c:v>
                </c:pt>
                <c:pt idx="2">
                  <c:v>O desenho gráfico dos ecrãs é</c:v>
                </c:pt>
                <c:pt idx="3">
                  <c:v>Em caso de erro, existe suporte na aplicação que me ajude a resolver o problema</c:v>
                </c:pt>
                <c:pt idx="4">
                  <c:v>As cores utilizadas permitem uma fácil leitura</c:v>
                </c:pt>
                <c:pt idx="5">
                  <c:v>Facilidade de voltar ao ecrã anterior</c:v>
                </c:pt>
                <c:pt idx="6">
                  <c:v>Os ícones utilizados são de fácil compreensão</c:v>
                </c:pt>
                <c:pt idx="7">
                  <c:v>Tamanho da letra</c:v>
                </c:pt>
                <c:pt idx="8">
                  <c:v>Aspecto geral dos ecrãs</c:v>
                </c:pt>
                <c:pt idx="9">
                  <c:v>Com base apenas naquilo que experimentei e vi hoje acredito que a [APP CinemasPT] vai ser muito simples de utilizar no futuro</c:v>
                </c:pt>
              </c:strCache>
            </c:strRef>
          </c:cat>
          <c:val>
            <c:numRef>
              <c:f>'Questionário Satisfação'!$Q$2:$Z$2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5-E549-9A55-33D89656E66E}"/>
            </c:ext>
          </c:extLst>
        </c:ser>
        <c:ser>
          <c:idx val="1"/>
          <c:order val="1"/>
          <c:tx>
            <c:strRef>
              <c:f>'Dicionário de Variáveis'!$B$19</c:f>
              <c:strCache>
                <c:ptCount val="1"/>
                <c:pt idx="0">
                  <c:v>Discordo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'Dicionário de Variáveis'!$B$6:$B$15</c:f>
              <c:strCache>
                <c:ptCount val="10"/>
                <c:pt idx="0">
                  <c:v>Neste protótipo posso facilmente ver as atividades que posso realizar</c:v>
                </c:pt>
                <c:pt idx="1">
                  <c:v>Os nomes estão muito adequados à informação disponível e às ações que eu possa fazer</c:v>
                </c:pt>
                <c:pt idx="2">
                  <c:v>O desenho gráfico dos ecrãs é</c:v>
                </c:pt>
                <c:pt idx="3">
                  <c:v>Em caso de erro, existe suporte na aplicação que me ajude a resolver o problema</c:v>
                </c:pt>
                <c:pt idx="4">
                  <c:v>As cores utilizadas permitem uma fácil leitura</c:v>
                </c:pt>
                <c:pt idx="5">
                  <c:v>Facilidade de voltar ao ecrã anterior</c:v>
                </c:pt>
                <c:pt idx="6">
                  <c:v>Os ícones utilizados são de fácil compreensão</c:v>
                </c:pt>
                <c:pt idx="7">
                  <c:v>Tamanho da letra</c:v>
                </c:pt>
                <c:pt idx="8">
                  <c:v>Aspecto geral dos ecrãs</c:v>
                </c:pt>
                <c:pt idx="9">
                  <c:v>Com base apenas naquilo que experimentei e vi hoje acredito que a [APP CinemasPT] vai ser muito simples de utilizar no futuro</c:v>
                </c:pt>
              </c:strCache>
            </c:strRef>
          </c:cat>
          <c:val>
            <c:numRef>
              <c:f>'Questionário Satisfação'!$Q$3:$Z$3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A5-E549-9A55-33D89656E66E}"/>
            </c:ext>
          </c:extLst>
        </c:ser>
        <c:ser>
          <c:idx val="2"/>
          <c:order val="2"/>
          <c:tx>
            <c:strRef>
              <c:f>'Dicionário de Variáveis'!$B$20</c:f>
              <c:strCache>
                <c:ptCount val="1"/>
                <c:pt idx="0">
                  <c:v>Não concordo nem discordo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'Dicionário de Variáveis'!$B$6:$B$15</c:f>
              <c:strCache>
                <c:ptCount val="10"/>
                <c:pt idx="0">
                  <c:v>Neste protótipo posso facilmente ver as atividades que posso realizar</c:v>
                </c:pt>
                <c:pt idx="1">
                  <c:v>Os nomes estão muito adequados à informação disponível e às ações que eu possa fazer</c:v>
                </c:pt>
                <c:pt idx="2">
                  <c:v>O desenho gráfico dos ecrãs é</c:v>
                </c:pt>
                <c:pt idx="3">
                  <c:v>Em caso de erro, existe suporte na aplicação que me ajude a resolver o problema</c:v>
                </c:pt>
                <c:pt idx="4">
                  <c:v>As cores utilizadas permitem uma fácil leitura</c:v>
                </c:pt>
                <c:pt idx="5">
                  <c:v>Facilidade de voltar ao ecrã anterior</c:v>
                </c:pt>
                <c:pt idx="6">
                  <c:v>Os ícones utilizados são de fácil compreensão</c:v>
                </c:pt>
                <c:pt idx="7">
                  <c:v>Tamanho da letra</c:v>
                </c:pt>
                <c:pt idx="8">
                  <c:v>Aspecto geral dos ecrãs</c:v>
                </c:pt>
                <c:pt idx="9">
                  <c:v>Com base apenas naquilo que experimentei e vi hoje acredito que a [APP CinemasPT] vai ser muito simples de utilizar no futuro</c:v>
                </c:pt>
              </c:strCache>
            </c:strRef>
          </c:cat>
          <c:val>
            <c:numRef>
              <c:f>'Questionário Satisfação'!$Q$4:$Z$4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A5-E549-9A55-33D89656E66E}"/>
            </c:ext>
          </c:extLst>
        </c:ser>
        <c:ser>
          <c:idx val="3"/>
          <c:order val="3"/>
          <c:tx>
            <c:strRef>
              <c:f>'Dicionário de Variáveis'!$B$21</c:f>
              <c:strCache>
                <c:ptCount val="1"/>
                <c:pt idx="0">
                  <c:v>Concordo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'Dicionário de Variáveis'!$B$6:$B$15</c:f>
              <c:strCache>
                <c:ptCount val="10"/>
                <c:pt idx="0">
                  <c:v>Neste protótipo posso facilmente ver as atividades que posso realizar</c:v>
                </c:pt>
                <c:pt idx="1">
                  <c:v>Os nomes estão muito adequados à informação disponível e às ações que eu possa fazer</c:v>
                </c:pt>
                <c:pt idx="2">
                  <c:v>O desenho gráfico dos ecrãs é</c:v>
                </c:pt>
                <c:pt idx="3">
                  <c:v>Em caso de erro, existe suporte na aplicação que me ajude a resolver o problema</c:v>
                </c:pt>
                <c:pt idx="4">
                  <c:v>As cores utilizadas permitem uma fácil leitura</c:v>
                </c:pt>
                <c:pt idx="5">
                  <c:v>Facilidade de voltar ao ecrã anterior</c:v>
                </c:pt>
                <c:pt idx="6">
                  <c:v>Os ícones utilizados são de fácil compreensão</c:v>
                </c:pt>
                <c:pt idx="7">
                  <c:v>Tamanho da letra</c:v>
                </c:pt>
                <c:pt idx="8">
                  <c:v>Aspecto geral dos ecrãs</c:v>
                </c:pt>
                <c:pt idx="9">
                  <c:v>Com base apenas naquilo que experimentei e vi hoje acredito que a [APP CinemasPT] vai ser muito simples de utilizar no futuro</c:v>
                </c:pt>
              </c:strCache>
            </c:strRef>
          </c:cat>
          <c:val>
            <c:numRef>
              <c:f>'Questionário Satisfação'!$Q$5:$Z$5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A5-E549-9A55-33D89656E66E}"/>
            </c:ext>
          </c:extLst>
        </c:ser>
        <c:ser>
          <c:idx val="4"/>
          <c:order val="4"/>
          <c:tx>
            <c:strRef>
              <c:f>'Dicionário de Variáveis'!$B$22</c:f>
              <c:strCache>
                <c:ptCount val="1"/>
                <c:pt idx="0">
                  <c:v>Concordo fortemente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'Dicionário de Variáveis'!$B$6:$B$15</c:f>
              <c:strCache>
                <c:ptCount val="10"/>
                <c:pt idx="0">
                  <c:v>Neste protótipo posso facilmente ver as atividades que posso realizar</c:v>
                </c:pt>
                <c:pt idx="1">
                  <c:v>Os nomes estão muito adequados à informação disponível e às ações que eu possa fazer</c:v>
                </c:pt>
                <c:pt idx="2">
                  <c:v>O desenho gráfico dos ecrãs é</c:v>
                </c:pt>
                <c:pt idx="3">
                  <c:v>Em caso de erro, existe suporte na aplicação que me ajude a resolver o problema</c:v>
                </c:pt>
                <c:pt idx="4">
                  <c:v>As cores utilizadas permitem uma fácil leitura</c:v>
                </c:pt>
                <c:pt idx="5">
                  <c:v>Facilidade de voltar ao ecrã anterior</c:v>
                </c:pt>
                <c:pt idx="6">
                  <c:v>Os ícones utilizados são de fácil compreensão</c:v>
                </c:pt>
                <c:pt idx="7">
                  <c:v>Tamanho da letra</c:v>
                </c:pt>
                <c:pt idx="8">
                  <c:v>Aspecto geral dos ecrãs</c:v>
                </c:pt>
                <c:pt idx="9">
                  <c:v>Com base apenas naquilo que experimentei e vi hoje acredito que a [APP CinemasPT] vai ser muito simples de utilizar no futuro</c:v>
                </c:pt>
              </c:strCache>
            </c:strRef>
          </c:cat>
          <c:val>
            <c:numRef>
              <c:f>'Questionário Satisfação'!$Q$6:$Z$6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7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A5-E549-9A55-33D89656E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509855"/>
        <c:axId val="548501151"/>
      </c:barChart>
      <c:catAx>
        <c:axId val="5485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600"/>
                  <a:t>Items</a:t>
                </a:r>
                <a:r>
                  <a:rPr lang="pt-PT" sz="1600" baseline="0"/>
                  <a:t> do Questionario Satisfação</a:t>
                </a:r>
                <a:endParaRPr lang="pt-PT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48501151"/>
        <c:crosses val="autoZero"/>
        <c:auto val="1"/>
        <c:lblAlgn val="ctr"/>
        <c:lblOffset val="100"/>
        <c:noMultiLvlLbl val="0"/>
      </c:catAx>
      <c:valAx>
        <c:axId val="54850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600" baseline="0"/>
                  <a:t>Contagem da Descricao </a:t>
                </a:r>
                <a:endParaRPr lang="pt-PT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4850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Tendências</a:t>
            </a:r>
            <a:r>
              <a:rPr lang="pt-PT" baseline="0"/>
              <a:t> Centrais - Experiência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Grelha!$A$24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Grelha!$B$23:$J$23</c:f>
              <c:strCache>
                <c:ptCount val="9"/>
                <c:pt idx="0">
                  <c:v>Momento 1</c:v>
                </c:pt>
                <c:pt idx="1">
                  <c:v>Momento 2</c:v>
                </c:pt>
                <c:pt idx="2">
                  <c:v>Momento 3</c:v>
                </c:pt>
                <c:pt idx="3">
                  <c:v>Momento 4</c:v>
                </c:pt>
                <c:pt idx="4">
                  <c:v>Momento 5</c:v>
                </c:pt>
                <c:pt idx="5">
                  <c:v>Momento 6</c:v>
                </c:pt>
                <c:pt idx="6">
                  <c:v>Momento 7</c:v>
                </c:pt>
                <c:pt idx="7">
                  <c:v>Momento 8</c:v>
                </c:pt>
                <c:pt idx="8">
                  <c:v>Momento 9</c:v>
                </c:pt>
              </c:strCache>
            </c:strRef>
          </c:cat>
          <c:val>
            <c:numRef>
              <c:f>Grelha!$B$24:$J$24</c:f>
              <c:numCache>
                <c:formatCode>General</c:formatCode>
                <c:ptCount val="9"/>
                <c:pt idx="0">
                  <c:v>4.8</c:v>
                </c:pt>
                <c:pt idx="1">
                  <c:v>4.4000000000000004</c:v>
                </c:pt>
                <c:pt idx="2">
                  <c:v>4.2</c:v>
                </c:pt>
                <c:pt idx="3">
                  <c:v>4.9000000000000004</c:v>
                </c:pt>
                <c:pt idx="4">
                  <c:v>3.7</c:v>
                </c:pt>
                <c:pt idx="5">
                  <c:v>4.7</c:v>
                </c:pt>
                <c:pt idx="6">
                  <c:v>3.9</c:v>
                </c:pt>
                <c:pt idx="7">
                  <c:v>3.8</c:v>
                </c:pt>
                <c:pt idx="8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C-2C4A-9791-78C368A30F92}"/>
            </c:ext>
          </c:extLst>
        </c:ser>
        <c:ser>
          <c:idx val="1"/>
          <c:order val="1"/>
          <c:tx>
            <c:strRef>
              <c:f>Grelha!$A$25</c:f>
              <c:strCache>
                <c:ptCount val="1"/>
                <c:pt idx="0">
                  <c:v>DP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Grelha!$B$23:$J$23</c:f>
              <c:strCache>
                <c:ptCount val="9"/>
                <c:pt idx="0">
                  <c:v>Momento 1</c:v>
                </c:pt>
                <c:pt idx="1">
                  <c:v>Momento 2</c:v>
                </c:pt>
                <c:pt idx="2">
                  <c:v>Momento 3</c:v>
                </c:pt>
                <c:pt idx="3">
                  <c:v>Momento 4</c:v>
                </c:pt>
                <c:pt idx="4">
                  <c:v>Momento 5</c:v>
                </c:pt>
                <c:pt idx="5">
                  <c:v>Momento 6</c:v>
                </c:pt>
                <c:pt idx="6">
                  <c:v>Momento 7</c:v>
                </c:pt>
                <c:pt idx="7">
                  <c:v>Momento 8</c:v>
                </c:pt>
                <c:pt idx="8">
                  <c:v>Momento 9</c:v>
                </c:pt>
              </c:strCache>
            </c:strRef>
          </c:cat>
          <c:val>
            <c:numRef>
              <c:f>Grelha!$B$25:$J$25</c:f>
              <c:numCache>
                <c:formatCode>General</c:formatCode>
                <c:ptCount val="9"/>
                <c:pt idx="0">
                  <c:v>0.63245553203367533</c:v>
                </c:pt>
                <c:pt idx="1">
                  <c:v>1.264911064067352</c:v>
                </c:pt>
                <c:pt idx="2">
                  <c:v>1.0327955589886442</c:v>
                </c:pt>
                <c:pt idx="3">
                  <c:v>0.31622776601683794</c:v>
                </c:pt>
                <c:pt idx="4">
                  <c:v>1.6363916944844767</c:v>
                </c:pt>
                <c:pt idx="5">
                  <c:v>0.6749485577105524</c:v>
                </c:pt>
                <c:pt idx="6">
                  <c:v>1.5951314818673867</c:v>
                </c:pt>
                <c:pt idx="7">
                  <c:v>1.6193277068654823</c:v>
                </c:pt>
                <c:pt idx="8">
                  <c:v>1.3498971154211061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C-2C4A-9791-78C368A30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564239"/>
        <c:axId val="52565887"/>
      </c:barChart>
      <c:catAx>
        <c:axId val="5256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565887"/>
        <c:crosses val="autoZero"/>
        <c:auto val="1"/>
        <c:lblAlgn val="ctr"/>
        <c:lblOffset val="100"/>
        <c:noMultiLvlLbl val="0"/>
      </c:catAx>
      <c:valAx>
        <c:axId val="5256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56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Percentagem</a:t>
            </a:r>
            <a:r>
              <a:rPr lang="pt-PT" baseline="0"/>
              <a:t> Got and Dont Got It</a:t>
            </a:r>
            <a:endParaRPr lang="pt-PT"/>
          </a:p>
        </c:rich>
      </c:tx>
      <c:layout>
        <c:manualLayout>
          <c:xMode val="edge"/>
          <c:yMode val="edge"/>
          <c:x val="0.27271206730336311"/>
          <c:y val="3.1840175926821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Grelha!$A$17</c:f>
              <c:strCache>
                <c:ptCount val="1"/>
                <c:pt idx="0">
                  <c:v>Got it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Grelha!$B$23:$K$23</c:f>
              <c:strCache>
                <c:ptCount val="10"/>
                <c:pt idx="0">
                  <c:v>Momento 1</c:v>
                </c:pt>
                <c:pt idx="1">
                  <c:v>Momento 2</c:v>
                </c:pt>
                <c:pt idx="2">
                  <c:v>Momento 3</c:v>
                </c:pt>
                <c:pt idx="3">
                  <c:v>Momento 4</c:v>
                </c:pt>
                <c:pt idx="4">
                  <c:v>Momento 5</c:v>
                </c:pt>
                <c:pt idx="5">
                  <c:v>Momento 6</c:v>
                </c:pt>
                <c:pt idx="6">
                  <c:v>Momento 7</c:v>
                </c:pt>
                <c:pt idx="7">
                  <c:v>Momento 8</c:v>
                </c:pt>
                <c:pt idx="8">
                  <c:v>Momento 9</c:v>
                </c:pt>
                <c:pt idx="9">
                  <c:v>Total</c:v>
                </c:pt>
              </c:strCache>
            </c:strRef>
          </c:cat>
          <c:val>
            <c:numRef>
              <c:f>(Grelha!$C$17,Grelha!$E$17,Grelha!$G$17,Grelha!$I$17,Grelha!$K$17,Grelha!$M$17,Grelha!$O$17,Grelha!$Q$17,Grelha!$S$17,Grelha!$U$17)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90</c:v>
                </c:pt>
                <c:pt idx="3">
                  <c:v>100</c:v>
                </c:pt>
                <c:pt idx="4">
                  <c:v>80</c:v>
                </c:pt>
                <c:pt idx="5">
                  <c:v>100</c:v>
                </c:pt>
                <c:pt idx="6">
                  <c:v>80</c:v>
                </c:pt>
                <c:pt idx="7">
                  <c:v>80</c:v>
                </c:pt>
                <c:pt idx="8">
                  <c:v>90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8-214F-B8A2-9CC799DF1D24}"/>
            </c:ext>
          </c:extLst>
        </c:ser>
        <c:ser>
          <c:idx val="1"/>
          <c:order val="1"/>
          <c:tx>
            <c:strRef>
              <c:f>Grelha!$A$18</c:f>
              <c:strCache>
                <c:ptCount val="1"/>
                <c:pt idx="0">
                  <c:v>Don’t got 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Grelha!$B$23:$K$23</c:f>
              <c:strCache>
                <c:ptCount val="10"/>
                <c:pt idx="0">
                  <c:v>Momento 1</c:v>
                </c:pt>
                <c:pt idx="1">
                  <c:v>Momento 2</c:v>
                </c:pt>
                <c:pt idx="2">
                  <c:v>Momento 3</c:v>
                </c:pt>
                <c:pt idx="3">
                  <c:v>Momento 4</c:v>
                </c:pt>
                <c:pt idx="4">
                  <c:v>Momento 5</c:v>
                </c:pt>
                <c:pt idx="5">
                  <c:v>Momento 6</c:v>
                </c:pt>
                <c:pt idx="6">
                  <c:v>Momento 7</c:v>
                </c:pt>
                <c:pt idx="7">
                  <c:v>Momento 8</c:v>
                </c:pt>
                <c:pt idx="8">
                  <c:v>Momento 9</c:v>
                </c:pt>
                <c:pt idx="9">
                  <c:v>Total</c:v>
                </c:pt>
              </c:strCache>
            </c:strRef>
          </c:cat>
          <c:val>
            <c:numRef>
              <c:f>(Grelha!$C$18,Grelha!$E$18,Grelha!$G$18,Grelha!$I$18,Grelha!$K$18,Grelha!$M$18,Grelha!$O$18,Grelha!$Q$18,Grelha!$S$18,Grelha!$U$18)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0</c:v>
                </c:pt>
                <c:pt idx="4">
                  <c:v>20</c:v>
                </c:pt>
                <c:pt idx="5">
                  <c:v>0</c:v>
                </c:pt>
                <c:pt idx="6">
                  <c:v>20</c:v>
                </c:pt>
                <c:pt idx="7">
                  <c:v>20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8-214F-B8A2-9CC799DF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93983"/>
        <c:axId val="55095631"/>
      </c:barChart>
      <c:catAx>
        <c:axId val="5509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095631"/>
        <c:crosses val="autoZero"/>
        <c:auto val="1"/>
        <c:lblAlgn val="ctr"/>
        <c:lblOffset val="100"/>
        <c:noMultiLvlLbl val="0"/>
      </c:catAx>
      <c:valAx>
        <c:axId val="550956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 Percentagem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09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198967</xdr:colOff>
      <xdr:row>0</xdr:row>
      <xdr:rowOff>93133</xdr:rowOff>
    </xdr:from>
    <xdr:to>
      <xdr:col>13</xdr:col>
      <xdr:colOff>29634</xdr:colOff>
      <xdr:row>14</xdr:row>
      <xdr:rowOff>110066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BD2447-3E13-54F5-D4F8-131399871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215899</xdr:colOff>
      <xdr:row>15</xdr:row>
      <xdr:rowOff>139700</xdr:rowOff>
    </xdr:from>
    <xdr:to>
      <xdr:col>13</xdr:col>
      <xdr:colOff>46566</xdr:colOff>
      <xdr:row>29</xdr:row>
      <xdr:rowOff>156633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D299103-00E1-6617-5DCA-B10621A8E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168739</xdr:colOff>
      <xdr:row>19</xdr:row>
      <xdr:rowOff>160392</xdr:rowOff>
    </xdr:from>
    <xdr:to>
      <xdr:col>32</xdr:col>
      <xdr:colOff>483810</xdr:colOff>
      <xdr:row>26</xdr:row>
      <xdr:rowOff>816429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B5AA7B3A-4537-B409-1B5C-FA412DEE4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199571</xdr:colOff>
      <xdr:row>20</xdr:row>
      <xdr:rowOff>96763</xdr:rowOff>
    </xdr:from>
    <xdr:to>
      <xdr:col>12</xdr:col>
      <xdr:colOff>399143</xdr:colOff>
      <xdr:row>21</xdr:row>
      <xdr:rowOff>202173</xdr:rowOff>
    </xdr:to>
    <xdr:sp macro="" textlink="">
      <xdr:nvSpPr>
        <xdr:cNvPr id="32" name="CaixaDeTexto 1">
          <a:extLst>
            <a:ext uri="{FF2B5EF4-FFF2-40B4-BE49-F238E27FC236}">
              <a16:creationId xmlns:a16="http://schemas.microsoft.com/office/drawing/2014/main" id="{D79ECECF-13A9-D3B6-324B-03E910291458}"/>
            </a:ext>
          </a:extLst>
        </xdr:cNvPr>
        <xdr:cNvSpPr txBox="1"/>
      </xdr:nvSpPr>
      <xdr:spPr>
        <a:xfrm>
          <a:off x="9361714" y="4027715"/>
          <a:ext cx="2240643" cy="30195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pt-PT" sz="1100"/>
            <a:t>M.total</a:t>
          </a:r>
          <a:r>
            <a:rPr lang="pt-PT" sz="1100" baseline="0"/>
            <a:t> = 4.225 DP.total = 0,78</a:t>
          </a:r>
          <a:endParaRPr lang="pt-PT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0.0829</cdr:x>
      <cdr:y>0.2802</cdr:y>
    </cdr:from>
    <cdr:to>
      <cdr:x>0.1419</cdr:x>
      <cdr:y>0.34249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952CBBBA-E34E-3B41-F70C-D5F4CD83633B}"/>
            </a:ext>
          </a:extLst>
        </cdr:cNvPr>
        <cdr:cNvSpPr txBox="1"/>
      </cdr:nvSpPr>
      <cdr:spPr>
        <a:xfrm xmlns:a="http://schemas.openxmlformats.org/drawingml/2006/main">
          <a:off x="985804" y="1438208"/>
          <a:ext cx="701609" cy="3197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PT" sz="1100"/>
        </a:p>
      </cdr:txBody>
    </cdr:sp>
  </cdr:relSizeAnchor>
  <cdr:relSizeAnchor xmlns:cdr="http://schemas.openxmlformats.org/drawingml/2006/chartDrawing">
    <cdr:from>
      <cdr:x>0.06276</cdr:x>
      <cdr:y>0.24062</cdr:y>
    </cdr:from>
    <cdr:to>
      <cdr:x>0.18225</cdr:x>
      <cdr:y>0.29944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E6739AA6-6F6A-DDE4-517A-4336DF37D705}"/>
            </a:ext>
          </a:extLst>
        </cdr:cNvPr>
        <cdr:cNvSpPr txBox="1"/>
      </cdr:nvSpPr>
      <cdr:spPr>
        <a:xfrm xmlns:a="http://schemas.openxmlformats.org/drawingml/2006/main">
          <a:off x="1109055" y="1554795"/>
          <a:ext cx="2111633" cy="380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PT" sz="1100"/>
            <a:t>M</a:t>
          </a:r>
          <a:r>
            <a:rPr lang="pt-PT" sz="1100" baseline="0"/>
            <a:t> = 4.5 DP = 0,53</a:t>
          </a:r>
          <a:endParaRPr lang="pt-PT" sz="1100"/>
        </a:p>
      </cdr:txBody>
    </cdr:sp>
  </cdr:relSizeAnchor>
  <cdr:relSizeAnchor xmlns:cdr="http://schemas.openxmlformats.org/drawingml/2006/chartDrawing">
    <cdr:from>
      <cdr:x>0.16013</cdr:x>
      <cdr:y>0.16365</cdr:y>
    </cdr:from>
    <cdr:to>
      <cdr:x>0.27962</cdr:x>
      <cdr:y>0.22248</cdr:y>
    </cdr:to>
    <cdr:sp macro="" textlink="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D79ECECF-13A9-D3B6-324B-03E910291458}"/>
            </a:ext>
          </a:extLst>
        </cdr:cNvPr>
        <cdr:cNvSpPr txBox="1"/>
      </cdr:nvSpPr>
      <cdr:spPr>
        <a:xfrm xmlns:a="http://schemas.openxmlformats.org/drawingml/2006/main">
          <a:off x="2803696" y="1059521"/>
          <a:ext cx="2092140" cy="380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/>
            <a:t>M</a:t>
          </a:r>
          <a:r>
            <a:rPr lang="pt-PT" sz="1100" baseline="0"/>
            <a:t> = 4.2 DP = 0,63</a:t>
          </a:r>
          <a:endParaRPr lang="pt-PT" sz="1100"/>
        </a:p>
      </cdr:txBody>
    </cdr:sp>
  </cdr:relSizeAnchor>
  <cdr:relSizeAnchor xmlns:cdr="http://schemas.openxmlformats.org/drawingml/2006/chartDrawing">
    <cdr:from>
      <cdr:x>0.25703</cdr:x>
      <cdr:y>0.16927</cdr:y>
    </cdr:from>
    <cdr:to>
      <cdr:x>0.37652</cdr:x>
      <cdr:y>0.2281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D79ECECF-13A9-D3B6-324B-03E910291458}"/>
            </a:ext>
          </a:extLst>
        </cdr:cNvPr>
        <cdr:cNvSpPr txBox="1"/>
      </cdr:nvSpPr>
      <cdr:spPr>
        <a:xfrm xmlns:a="http://schemas.openxmlformats.org/drawingml/2006/main">
          <a:off x="4500316" y="1095883"/>
          <a:ext cx="2092141" cy="380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/>
            <a:t>M</a:t>
          </a:r>
          <a:r>
            <a:rPr lang="pt-PT" sz="1100" baseline="0"/>
            <a:t> = 4.2 DP = 0,63</a:t>
          </a:r>
          <a:endParaRPr lang="pt-PT" sz="1100"/>
        </a:p>
      </cdr:txBody>
    </cdr:sp>
  </cdr:relSizeAnchor>
  <cdr:relSizeAnchor xmlns:cdr="http://schemas.openxmlformats.org/drawingml/2006/chartDrawing">
    <cdr:from>
      <cdr:x>0.35582</cdr:x>
      <cdr:y>0.30083</cdr:y>
    </cdr:from>
    <cdr:to>
      <cdr:x>0.47532</cdr:x>
      <cdr:y>0.35966</cdr:y>
    </cdr:to>
    <cdr:sp macro="" textlink="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D79ECECF-13A9-D3B6-324B-03E910291458}"/>
            </a:ext>
          </a:extLst>
        </cdr:cNvPr>
        <cdr:cNvSpPr txBox="1"/>
      </cdr:nvSpPr>
      <cdr:spPr>
        <a:xfrm xmlns:a="http://schemas.openxmlformats.org/drawingml/2006/main">
          <a:off x="6230018" y="1947645"/>
          <a:ext cx="2092315" cy="380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/>
            <a:t>M</a:t>
          </a:r>
          <a:r>
            <a:rPr lang="pt-PT" sz="1100" baseline="0"/>
            <a:t> = 4.2 DP = 0,79</a:t>
          </a:r>
          <a:endParaRPr lang="pt-PT" sz="1100"/>
        </a:p>
      </cdr:txBody>
    </cdr:sp>
  </cdr:relSizeAnchor>
  <cdr:relSizeAnchor xmlns:cdr="http://schemas.openxmlformats.org/drawingml/2006/chartDrawing">
    <cdr:from>
      <cdr:x>0.44366</cdr:x>
      <cdr:y>0.16675</cdr:y>
    </cdr:from>
    <cdr:to>
      <cdr:x>0.56315</cdr:x>
      <cdr:y>0.22558</cdr:y>
    </cdr:to>
    <cdr:sp macro="" textlink="">
      <cdr:nvSpPr>
        <cdr:cNvPr id="7" name="CaixaDeTexto 1">
          <a:extLst xmlns:a="http://schemas.openxmlformats.org/drawingml/2006/main">
            <a:ext uri="{FF2B5EF4-FFF2-40B4-BE49-F238E27FC236}">
              <a16:creationId xmlns:a16="http://schemas.microsoft.com/office/drawing/2014/main" id="{D79ECECF-13A9-D3B6-324B-03E910291458}"/>
            </a:ext>
          </a:extLst>
        </cdr:cNvPr>
        <cdr:cNvSpPr txBox="1"/>
      </cdr:nvSpPr>
      <cdr:spPr>
        <a:xfrm xmlns:a="http://schemas.openxmlformats.org/drawingml/2006/main">
          <a:off x="7768000" y="1079546"/>
          <a:ext cx="2092140" cy="380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/>
            <a:t>M</a:t>
          </a:r>
          <a:r>
            <a:rPr lang="pt-PT" sz="1100" baseline="0"/>
            <a:t> = 4.2 DP = 0,63</a:t>
          </a:r>
          <a:endParaRPr lang="pt-PT" sz="1100"/>
        </a:p>
      </cdr:txBody>
    </cdr:sp>
  </cdr:relSizeAnchor>
  <cdr:relSizeAnchor xmlns:cdr="http://schemas.openxmlformats.org/drawingml/2006/chartDrawing">
    <cdr:from>
      <cdr:x>0.54138</cdr:x>
      <cdr:y>0.23413</cdr:y>
    </cdr:from>
    <cdr:to>
      <cdr:x>0.66087</cdr:x>
      <cdr:y>0.29296</cdr:y>
    </cdr:to>
    <cdr:sp macro="" textlink="">
      <cdr:nvSpPr>
        <cdr:cNvPr id="8" name="CaixaDeTexto 1">
          <a:extLst xmlns:a="http://schemas.openxmlformats.org/drawingml/2006/main">
            <a:ext uri="{FF2B5EF4-FFF2-40B4-BE49-F238E27FC236}">
              <a16:creationId xmlns:a16="http://schemas.microsoft.com/office/drawing/2014/main" id="{D79ECECF-13A9-D3B6-324B-03E910291458}"/>
            </a:ext>
          </a:extLst>
        </cdr:cNvPr>
        <cdr:cNvSpPr txBox="1"/>
      </cdr:nvSpPr>
      <cdr:spPr>
        <a:xfrm xmlns:a="http://schemas.openxmlformats.org/drawingml/2006/main">
          <a:off x="9478970" y="1515819"/>
          <a:ext cx="2092141" cy="3808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/>
            <a:t>M</a:t>
          </a:r>
          <a:r>
            <a:rPr lang="pt-PT" sz="1100" baseline="0"/>
            <a:t> = 4.2 DP = 0,92</a:t>
          </a:r>
          <a:endParaRPr lang="pt-PT" sz="1100"/>
        </a:p>
      </cdr:txBody>
    </cdr:sp>
  </cdr:relSizeAnchor>
  <cdr:relSizeAnchor xmlns:cdr="http://schemas.openxmlformats.org/drawingml/2006/chartDrawing">
    <cdr:from>
      <cdr:x>0.64797</cdr:x>
      <cdr:y>0.10602</cdr:y>
    </cdr:from>
    <cdr:to>
      <cdr:x>0.76746</cdr:x>
      <cdr:y>0.16485</cdr:y>
    </cdr:to>
    <cdr:sp macro="" textlink="">
      <cdr:nvSpPr>
        <cdr:cNvPr id="9" name="CaixaDeTexto 1">
          <a:extLst xmlns:a="http://schemas.openxmlformats.org/drawingml/2006/main">
            <a:ext uri="{FF2B5EF4-FFF2-40B4-BE49-F238E27FC236}">
              <a16:creationId xmlns:a16="http://schemas.microsoft.com/office/drawing/2014/main" id="{D79ECECF-13A9-D3B6-324B-03E910291458}"/>
            </a:ext>
          </a:extLst>
        </cdr:cNvPr>
        <cdr:cNvSpPr txBox="1"/>
      </cdr:nvSpPr>
      <cdr:spPr>
        <a:xfrm xmlns:a="http://schemas.openxmlformats.org/drawingml/2006/main">
          <a:off x="11450785" y="685097"/>
          <a:ext cx="2111632" cy="380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/>
            <a:t>M</a:t>
          </a:r>
          <a:r>
            <a:rPr lang="pt-PT" sz="1100" baseline="0"/>
            <a:t> = 4.5 DP = 0,97</a:t>
          </a:r>
          <a:endParaRPr lang="pt-PT" sz="1100"/>
        </a:p>
      </cdr:txBody>
    </cdr:sp>
  </cdr:relSizeAnchor>
  <cdr:relSizeAnchor xmlns:cdr="http://schemas.openxmlformats.org/drawingml/2006/chartDrawing">
    <cdr:from>
      <cdr:x>0.73207</cdr:x>
      <cdr:y>0.22319</cdr:y>
    </cdr:from>
    <cdr:to>
      <cdr:x>0.85156</cdr:x>
      <cdr:y>0.28202</cdr:y>
    </cdr:to>
    <cdr:sp macro="" textlink="">
      <cdr:nvSpPr>
        <cdr:cNvPr id="10" name="CaixaDeTexto 1">
          <a:extLst xmlns:a="http://schemas.openxmlformats.org/drawingml/2006/main">
            <a:ext uri="{FF2B5EF4-FFF2-40B4-BE49-F238E27FC236}">
              <a16:creationId xmlns:a16="http://schemas.microsoft.com/office/drawing/2014/main" id="{D79ECECF-13A9-D3B6-324B-03E910291458}"/>
            </a:ext>
          </a:extLst>
        </cdr:cNvPr>
        <cdr:cNvSpPr txBox="1"/>
      </cdr:nvSpPr>
      <cdr:spPr>
        <a:xfrm xmlns:a="http://schemas.openxmlformats.org/drawingml/2006/main">
          <a:off x="12817743" y="1444971"/>
          <a:ext cx="2092140" cy="3808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/>
            <a:t>M</a:t>
          </a:r>
          <a:r>
            <a:rPr lang="pt-PT" sz="1100" baseline="0"/>
            <a:t> = 4.1 DP = 0,74</a:t>
          </a:r>
          <a:endParaRPr lang="pt-PT" sz="1100"/>
        </a:p>
      </cdr:txBody>
    </cdr:sp>
  </cdr:relSizeAnchor>
  <cdr:relSizeAnchor xmlns:cdr="http://schemas.openxmlformats.org/drawingml/2006/chartDrawing">
    <cdr:from>
      <cdr:x>0.91734</cdr:x>
      <cdr:y>0.22967</cdr:y>
    </cdr:from>
    <cdr:to>
      <cdr:x>1</cdr:x>
      <cdr:y>0.30222</cdr:y>
    </cdr:to>
    <cdr:sp macro="" textlink="">
      <cdr:nvSpPr>
        <cdr:cNvPr id="11" name="CaixaDeTexto 1">
          <a:extLst xmlns:a="http://schemas.openxmlformats.org/drawingml/2006/main">
            <a:ext uri="{FF2B5EF4-FFF2-40B4-BE49-F238E27FC236}">
              <a16:creationId xmlns:a16="http://schemas.microsoft.com/office/drawing/2014/main" id="{D79ECECF-13A9-D3B6-324B-03E910291458}"/>
            </a:ext>
          </a:extLst>
        </cdr:cNvPr>
        <cdr:cNvSpPr txBox="1"/>
      </cdr:nvSpPr>
      <cdr:spPr>
        <a:xfrm xmlns:a="http://schemas.openxmlformats.org/drawingml/2006/main">
          <a:off x="16061630" y="1486924"/>
          <a:ext cx="1447287" cy="469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/>
            <a:t>M</a:t>
          </a:r>
          <a:r>
            <a:rPr lang="pt-PT" sz="1100" baseline="0"/>
            <a:t> = 4.3 DP = 0,83</a:t>
          </a:r>
          <a:endParaRPr lang="pt-PT" sz="1100"/>
        </a:p>
      </cdr:txBody>
    </cdr:sp>
  </cdr:relSizeAnchor>
  <cdr:relSizeAnchor xmlns:cdr="http://schemas.openxmlformats.org/drawingml/2006/chartDrawing">
    <cdr:from>
      <cdr:x>0.83053</cdr:x>
      <cdr:y>0.22632</cdr:y>
    </cdr:from>
    <cdr:to>
      <cdr:x>0.93791</cdr:x>
      <cdr:y>0.28474</cdr:y>
    </cdr:to>
    <cdr:sp macro="" textlink="">
      <cdr:nvSpPr>
        <cdr:cNvPr id="12" name="CaixaDeTexto 1">
          <a:extLst xmlns:a="http://schemas.openxmlformats.org/drawingml/2006/main">
            <a:ext uri="{FF2B5EF4-FFF2-40B4-BE49-F238E27FC236}">
              <a16:creationId xmlns:a16="http://schemas.microsoft.com/office/drawing/2014/main" id="{D79ECECF-13A9-D3B6-324B-03E910291458}"/>
            </a:ext>
          </a:extLst>
        </cdr:cNvPr>
        <cdr:cNvSpPr txBox="1"/>
      </cdr:nvSpPr>
      <cdr:spPr>
        <a:xfrm xmlns:a="http://schemas.openxmlformats.org/drawingml/2006/main">
          <a:off x="14541675" y="1465214"/>
          <a:ext cx="1880108" cy="3782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/>
            <a:t>M</a:t>
          </a:r>
          <a:r>
            <a:rPr lang="pt-PT" sz="1100" baseline="0"/>
            <a:t> = 4.1 DP = 0,73</a:t>
          </a:r>
          <a:endParaRPr lang="pt-PT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502161</xdr:colOff>
      <xdr:row>23</xdr:row>
      <xdr:rowOff>37079</xdr:rowOff>
    </xdr:from>
    <xdr:to>
      <xdr:col>18</xdr:col>
      <xdr:colOff>242322</xdr:colOff>
      <xdr:row>37</xdr:row>
      <xdr:rowOff>123497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B968DC-08F7-7CC3-CBF5-A25F5D3C4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496956</xdr:colOff>
      <xdr:row>23</xdr:row>
      <xdr:rowOff>46015</xdr:rowOff>
    </xdr:from>
    <xdr:to>
      <xdr:col>26</xdr:col>
      <xdr:colOff>248478</xdr:colOff>
      <xdr:row>38</xdr:row>
      <xdr:rowOff>14650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6FCC8A2-E773-4061-7D2E-F228817C0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onceição Costa" id="{980A90D8-4EEF-4300-9607-14D510AA620A}" userId="Conceição Costa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FBFC86-DD43-C746-977C-D54D68563C47}" name="Tabela689" displayName="Tabela689" ref="A30:F39" totalsRowShown="0" headerRowDxfId="16" headerRowBorderDxfId="15" tableBorderDxfId="14" totalsRowBorderDxfId="13">
  <autoFilter ref="A30:F39" xr:uid="{E9FBFC86-DD43-C746-977C-D54D68563C47}"/>
  <tableColumns count="6">
    <tableColumn id="1" xr3:uid="{EC5107AC-B14F-5F47-BE4A-49870064B06A}" name="Momentos" dataDxfId="12"/>
    <tableColumn id="2" xr3:uid="{517A9A6C-78E8-8840-9EA4-EE063475356B}" name="1" dataDxfId="11">
      <calculatedColumnFormula>COUNTIF(Grelha!C32:C41,0)</calculatedColumnFormula>
    </tableColumn>
    <tableColumn id="3" xr3:uid="{CAA0F27E-2299-F643-94D9-F18AE94BD2F7}" name="2" dataDxfId="10">
      <calculatedColumnFormula>COUNTIF(G1:G10,2)</calculatedColumnFormula>
    </tableColumn>
    <tableColumn id="4" xr3:uid="{B6C4600B-A560-534D-98E1-184D90597818}" name="3" dataDxfId="9"/>
    <tableColumn id="5" xr3:uid="{76A0FCBF-9A1A-E649-BAAF-E54F0B24E33A}" name="4" dataDxfId="8">
      <calculatedColumnFormula>COUNTIF(G1:G10,4)</calculatedColumnFormula>
    </tableColumn>
    <tableColumn id="6" xr3:uid="{9F3CC005-B297-954F-95B1-D1625DA874D9}" name="5" dataDxfId="7">
      <calculatedColumnFormula>COUNTIF(G1:G10,5)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E34B92-19C9-8B46-BFF2-0C9614CBD436}" name="Tabela610" displayName="Tabela610" ref="I30:K39" totalsRowShown="0" headerRowDxfId="6" headerRowBorderDxfId="5" tableBorderDxfId="4" totalsRowBorderDxfId="3">
  <autoFilter ref="I30:K39" xr:uid="{55E34B92-19C9-8B46-BFF2-0C9614CBD436}"/>
  <tableColumns count="3">
    <tableColumn id="1" xr3:uid="{29546E59-797C-3D4A-81AB-92D9C00D0530}" name="Momentos" dataDxfId="2"/>
    <tableColumn id="2" xr3:uid="{C0C43248-1532-9943-97EC-2AF6E3863B73}" name="Got It" dataDxfId="1"/>
    <tableColumn id="3" xr3:uid="{8BE49D6E-8BD5-7447-8306-B009D8204E2E}" name="Don´t Got i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1-05T15:34:14.16" personId="{980A90D8-4EEF-4300-9607-14D510AA620A}" id="{A24B4067-1866-4828-A8CC-361A7DBCAA15}">
    <text>Consultem o dicionário de variáveis</text>
  </threadedComment>
  <threadedComment ref="U16" dT="2023-01-05T15:58:14.77" personId="{980A90D8-4EEF-4300-9607-14D510AA620A}" id="{A4CE4987-754A-3B44-8691-FDF0B1F91416}">
    <text>Alterei após  aula de 4 de Janeiro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zoomScale="150" zoomScaleNormal="150" workbookViewId="0">
      <selection activeCell="F26" sqref="F26"/>
    </sheetView>
  </sheetViews>
  <sheetFormatPr baseColWidth="10" defaultColWidth="8.83203125" defaultRowHeight="15"/>
  <cols>
    <col min="5" max="5" width="9.5" customWidth="1"/>
  </cols>
  <sheetData>
    <row r="1" spans="1:2">
      <c r="A1" s="1" t="s">
        <v>0</v>
      </c>
    </row>
    <row r="2" spans="1:2">
      <c r="A2" t="s">
        <v>1</v>
      </c>
      <c r="B2" t="s">
        <v>0</v>
      </c>
    </row>
    <row r="3" spans="1:2">
      <c r="A3">
        <v>1</v>
      </c>
      <c r="B3">
        <v>18</v>
      </c>
    </row>
    <row r="4" spans="1:2">
      <c r="A4">
        <v>2</v>
      </c>
      <c r="B4">
        <v>18</v>
      </c>
    </row>
    <row r="5" spans="1:2">
      <c r="A5">
        <v>3</v>
      </c>
      <c r="B5">
        <v>49</v>
      </c>
    </row>
    <row r="6" spans="1:2">
      <c r="A6">
        <v>4</v>
      </c>
      <c r="B6">
        <v>50</v>
      </c>
    </row>
    <row r="7" spans="1:2">
      <c r="A7">
        <v>5</v>
      </c>
      <c r="B7">
        <v>20</v>
      </c>
    </row>
    <row r="8" spans="1:2">
      <c r="A8">
        <v>6</v>
      </c>
      <c r="B8">
        <v>20</v>
      </c>
    </row>
    <row r="9" spans="1:2">
      <c r="A9">
        <v>7</v>
      </c>
      <c r="B9">
        <v>20</v>
      </c>
    </row>
    <row r="10" spans="1:2">
      <c r="A10">
        <v>8</v>
      </c>
      <c r="B10">
        <v>21</v>
      </c>
    </row>
    <row r="11" spans="1:2">
      <c r="A11">
        <v>9</v>
      </c>
      <c r="B11">
        <v>14</v>
      </c>
    </row>
    <row r="12" spans="1:2">
      <c r="A12">
        <v>10</v>
      </c>
      <c r="B12">
        <v>48</v>
      </c>
    </row>
    <row r="13" spans="1:2">
      <c r="A13" t="s">
        <v>2</v>
      </c>
      <c r="B13">
        <f>AVERAGE(B3:B12)</f>
        <v>27.8</v>
      </c>
    </row>
    <row r="14" spans="1:2">
      <c r="A14" t="s">
        <v>3</v>
      </c>
      <c r="B14">
        <f>STDEV(B3:B12)</f>
        <v>14.763317904710838</v>
      </c>
    </row>
    <row r="16" spans="1:2">
      <c r="A16" s="1" t="s">
        <v>4</v>
      </c>
    </row>
    <row r="17" spans="1:6">
      <c r="A17" t="s">
        <v>1</v>
      </c>
      <c r="B17" t="s">
        <v>4</v>
      </c>
      <c r="E17" t="s">
        <v>7</v>
      </c>
      <c r="F17" t="s">
        <v>8</v>
      </c>
    </row>
    <row r="18" spans="1:6">
      <c r="A18">
        <v>1</v>
      </c>
      <c r="B18">
        <v>1</v>
      </c>
      <c r="D18" t="s">
        <v>6</v>
      </c>
      <c r="E18">
        <f>COUNTIF(B18:B27,"2")</f>
        <v>4</v>
      </c>
      <c r="F18">
        <f>E18*100/10</f>
        <v>40</v>
      </c>
    </row>
    <row r="19" spans="1:6">
      <c r="A19">
        <v>2</v>
      </c>
      <c r="B19">
        <v>2</v>
      </c>
      <c r="D19" t="s">
        <v>5</v>
      </c>
      <c r="E19">
        <f>COUNTIF(B18:B27,"1")</f>
        <v>6</v>
      </c>
      <c r="F19">
        <f>E19*100/10</f>
        <v>60</v>
      </c>
    </row>
    <row r="20" spans="1:6">
      <c r="A20">
        <v>3</v>
      </c>
      <c r="B20">
        <v>1</v>
      </c>
    </row>
    <row r="21" spans="1:6">
      <c r="A21">
        <v>4</v>
      </c>
      <c r="B21">
        <v>2</v>
      </c>
    </row>
    <row r="22" spans="1:6">
      <c r="A22">
        <v>5</v>
      </c>
      <c r="B22">
        <v>1</v>
      </c>
    </row>
    <row r="23" spans="1:6">
      <c r="A23">
        <v>6</v>
      </c>
      <c r="B23" s="13">
        <v>1</v>
      </c>
    </row>
    <row r="24" spans="1:6">
      <c r="A24">
        <v>7</v>
      </c>
      <c r="B24" s="13">
        <v>1</v>
      </c>
    </row>
    <row r="25" spans="1:6">
      <c r="A25">
        <v>8</v>
      </c>
      <c r="B25" s="13">
        <v>1</v>
      </c>
    </row>
    <row r="26" spans="1:6">
      <c r="A26">
        <v>9</v>
      </c>
      <c r="B26">
        <v>2</v>
      </c>
    </row>
    <row r="27" spans="1:6">
      <c r="A27">
        <v>10</v>
      </c>
      <c r="B27" s="13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"/>
  <sheetViews>
    <sheetView zoomScale="120" zoomScaleNormal="120" workbookViewId="0">
      <selection activeCell="T33" sqref="T33"/>
    </sheetView>
  </sheetViews>
  <sheetFormatPr baseColWidth="10" defaultColWidth="8.83203125" defaultRowHeight="15"/>
  <cols>
    <col min="1" max="1" width="16.1640625" customWidth="1"/>
    <col min="2" max="3" width="8.83203125" customWidth="1"/>
  </cols>
  <sheetData>
    <row r="1" spans="1:2">
      <c r="A1" s="1" t="s">
        <v>4</v>
      </c>
    </row>
    <row r="2" spans="1:2">
      <c r="A2">
        <v>1</v>
      </c>
      <c r="B2" t="s">
        <v>5</v>
      </c>
    </row>
    <row r="3" spans="1:2">
      <c r="A3">
        <v>2</v>
      </c>
      <c r="B3" t="s">
        <v>6</v>
      </c>
    </row>
    <row r="5" spans="1:2">
      <c r="A5" s="1" t="s">
        <v>19</v>
      </c>
    </row>
    <row r="6" spans="1:2">
      <c r="A6" t="s">
        <v>9</v>
      </c>
      <c r="B6" s="5" t="s">
        <v>76</v>
      </c>
    </row>
    <row r="7" spans="1:2">
      <c r="A7" t="s">
        <v>10</v>
      </c>
      <c r="B7" s="5" t="s">
        <v>77</v>
      </c>
    </row>
    <row r="8" spans="1:2">
      <c r="A8" t="s">
        <v>11</v>
      </c>
      <c r="B8" s="5" t="s">
        <v>78</v>
      </c>
    </row>
    <row r="9" spans="1:2">
      <c r="A9" t="s">
        <v>12</v>
      </c>
      <c r="B9" s="5" t="s">
        <v>79</v>
      </c>
    </row>
    <row r="10" spans="1:2">
      <c r="A10" t="s">
        <v>13</v>
      </c>
      <c r="B10" s="5" t="s">
        <v>80</v>
      </c>
    </row>
    <row r="11" spans="1:2">
      <c r="A11" t="s">
        <v>14</v>
      </c>
      <c r="B11" s="5" t="s">
        <v>81</v>
      </c>
    </row>
    <row r="12" spans="1:2">
      <c r="A12" t="s">
        <v>15</v>
      </c>
      <c r="B12" s="5" t="s">
        <v>82</v>
      </c>
    </row>
    <row r="13" spans="1:2">
      <c r="A13" t="s">
        <v>16</v>
      </c>
      <c r="B13" s="5" t="s">
        <v>83</v>
      </c>
    </row>
    <row r="14" spans="1:2">
      <c r="A14" t="s">
        <v>17</v>
      </c>
      <c r="B14" s="5" t="s">
        <v>84</v>
      </c>
    </row>
    <row r="15" spans="1:2">
      <c r="A15" t="s">
        <v>18</v>
      </c>
      <c r="B15" s="5" t="s">
        <v>85</v>
      </c>
    </row>
    <row r="17" spans="1:2">
      <c r="A17" s="3" t="s">
        <v>20</v>
      </c>
    </row>
    <row r="18" spans="1:2">
      <c r="A18">
        <v>1</v>
      </c>
      <c r="B18" t="s">
        <v>21</v>
      </c>
    </row>
    <row r="19" spans="1:2">
      <c r="A19">
        <v>2</v>
      </c>
      <c r="B19" t="s">
        <v>22</v>
      </c>
    </row>
    <row r="20" spans="1:2">
      <c r="A20">
        <v>3</v>
      </c>
      <c r="B20" t="s">
        <v>23</v>
      </c>
    </row>
    <row r="21" spans="1:2">
      <c r="A21">
        <v>4</v>
      </c>
      <c r="B21" t="s">
        <v>24</v>
      </c>
    </row>
    <row r="22" spans="1:2">
      <c r="A22">
        <v>5</v>
      </c>
      <c r="B22" t="s">
        <v>25</v>
      </c>
    </row>
    <row r="24" spans="1:2">
      <c r="A24" s="1" t="s">
        <v>35</v>
      </c>
    </row>
    <row r="26" spans="1:2">
      <c r="A26" t="s">
        <v>41</v>
      </c>
      <c r="B26" s="5" t="s">
        <v>86</v>
      </c>
    </row>
    <row r="27" spans="1:2">
      <c r="A27" t="s">
        <v>42</v>
      </c>
      <c r="B27" s="5" t="s">
        <v>96</v>
      </c>
    </row>
    <row r="28" spans="1:2">
      <c r="A28" t="s">
        <v>43</v>
      </c>
      <c r="B28" s="5" t="s">
        <v>97</v>
      </c>
    </row>
    <row r="29" spans="1:2">
      <c r="A29" t="s">
        <v>44</v>
      </c>
      <c r="B29" s="5" t="s">
        <v>95</v>
      </c>
    </row>
    <row r="30" spans="1:2">
      <c r="A30" t="s">
        <v>45</v>
      </c>
      <c r="B30" s="5" t="s">
        <v>94</v>
      </c>
    </row>
    <row r="31" spans="1:2">
      <c r="A31" t="s">
        <v>48</v>
      </c>
      <c r="B31" s="5" t="s">
        <v>93</v>
      </c>
    </row>
    <row r="32" spans="1:2">
      <c r="A32" t="s">
        <v>87</v>
      </c>
      <c r="B32" s="5" t="s">
        <v>92</v>
      </c>
    </row>
    <row r="33" spans="1:2">
      <c r="A33" t="s">
        <v>88</v>
      </c>
      <c r="B33" s="5" t="s">
        <v>91</v>
      </c>
    </row>
    <row r="34" spans="1:2">
      <c r="A34" t="s">
        <v>89</v>
      </c>
      <c r="B34" s="5" t="s">
        <v>90</v>
      </c>
    </row>
    <row r="35" spans="1:2">
      <c r="B35" s="5"/>
    </row>
    <row r="36" spans="1:2">
      <c r="A36" t="s">
        <v>36</v>
      </c>
    </row>
    <row r="37" spans="1:2">
      <c r="A37">
        <v>1</v>
      </c>
      <c r="B37" t="s">
        <v>28</v>
      </c>
    </row>
    <row r="38" spans="1:2">
      <c r="A38">
        <v>0</v>
      </c>
      <c r="B38" t="s">
        <v>40</v>
      </c>
    </row>
    <row r="40" spans="1:2">
      <c r="A40" t="s">
        <v>39</v>
      </c>
    </row>
    <row r="41" spans="1:2">
      <c r="A41">
        <v>1</v>
      </c>
      <c r="B41" t="s">
        <v>37</v>
      </c>
    </row>
    <row r="42" spans="1:2">
      <c r="A42">
        <v>2</v>
      </c>
    </row>
    <row r="43" spans="1:2">
      <c r="A43">
        <v>3</v>
      </c>
    </row>
    <row r="44" spans="1:2">
      <c r="A44">
        <v>4</v>
      </c>
    </row>
    <row r="45" spans="1:2">
      <c r="A45">
        <v>5</v>
      </c>
      <c r="B45" t="s">
        <v>38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2"/>
  <sheetViews>
    <sheetView zoomScale="117" workbookViewId="0">
      <selection activeCell="S1" sqref="S1"/>
    </sheetView>
  </sheetViews>
  <sheetFormatPr baseColWidth="10" defaultColWidth="8.83203125" defaultRowHeight="15"/>
  <cols>
    <col min="2" max="3" width="17.1640625" customWidth="1"/>
    <col min="4" max="4" width="21.6640625" customWidth="1"/>
    <col min="5" max="5" width="19.5" customWidth="1"/>
    <col min="16" max="16" width="22.5" customWidth="1"/>
  </cols>
  <sheetData>
    <row r="1" spans="1:26">
      <c r="A1" t="s">
        <v>1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>
      <c r="A2">
        <v>1</v>
      </c>
      <c r="B2">
        <v>5</v>
      </c>
      <c r="C2">
        <v>4</v>
      </c>
      <c r="D2">
        <v>4</v>
      </c>
      <c r="E2">
        <v>4</v>
      </c>
      <c r="F2">
        <v>5</v>
      </c>
      <c r="G2">
        <v>5</v>
      </c>
      <c r="H2">
        <v>5</v>
      </c>
      <c r="I2">
        <v>5</v>
      </c>
      <c r="J2">
        <v>4</v>
      </c>
      <c r="K2">
        <v>5</v>
      </c>
      <c r="P2" t="s">
        <v>21</v>
      </c>
      <c r="Q2">
        <f>COUNTIF(B2:B11,1)</f>
        <v>0</v>
      </c>
      <c r="R2">
        <f>COUNTIF(C2:C11,1)</f>
        <v>0</v>
      </c>
      <c r="S2">
        <f>COUNTIF(D2:D11,1)</f>
        <v>0</v>
      </c>
      <c r="T2">
        <f t="shared" ref="T2:Z2" si="0">COUNTIF(E2:E11,1)</f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</row>
    <row r="3" spans="1:26">
      <c r="A3">
        <v>2</v>
      </c>
      <c r="B3">
        <v>5</v>
      </c>
      <c r="C3">
        <v>5</v>
      </c>
      <c r="D3">
        <v>4</v>
      </c>
      <c r="E3">
        <v>4</v>
      </c>
      <c r="F3">
        <v>5</v>
      </c>
      <c r="G3">
        <v>5</v>
      </c>
      <c r="H3">
        <v>5</v>
      </c>
      <c r="I3">
        <v>4</v>
      </c>
      <c r="J3">
        <v>4</v>
      </c>
      <c r="K3">
        <v>5</v>
      </c>
      <c r="L3" s="4" t="s">
        <v>27</v>
      </c>
      <c r="P3" t="s">
        <v>22</v>
      </c>
      <c r="Q3">
        <f>COUNTIF(B2:B11,2)</f>
        <v>0</v>
      </c>
      <c r="R3">
        <f t="shared" ref="R3:Z3" si="1">COUNTIF(C2:C11,2)</f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1</v>
      </c>
      <c r="W3">
        <f t="shared" si="1"/>
        <v>1</v>
      </c>
      <c r="X3">
        <f t="shared" si="1"/>
        <v>0</v>
      </c>
      <c r="Y3">
        <f t="shared" si="1"/>
        <v>0</v>
      </c>
      <c r="Z3">
        <f t="shared" si="1"/>
        <v>0</v>
      </c>
    </row>
    <row r="4" spans="1:26">
      <c r="A4">
        <v>3</v>
      </c>
      <c r="B4">
        <v>4</v>
      </c>
      <c r="C4">
        <v>4</v>
      </c>
      <c r="D4">
        <v>5</v>
      </c>
      <c r="E4">
        <v>4</v>
      </c>
      <c r="F4">
        <v>4</v>
      </c>
      <c r="G4">
        <v>2</v>
      </c>
      <c r="H4">
        <v>2</v>
      </c>
      <c r="I4">
        <v>3</v>
      </c>
      <c r="J4">
        <v>3</v>
      </c>
      <c r="K4">
        <v>3</v>
      </c>
      <c r="P4" t="s">
        <v>23</v>
      </c>
      <c r="Q4">
        <f>COUNTIF(B2:B11,3)</f>
        <v>0</v>
      </c>
      <c r="R4">
        <f t="shared" ref="R4:Z4" si="2">COUNTIF(C2:C11,3)</f>
        <v>1</v>
      </c>
      <c r="S4">
        <f t="shared" si="2"/>
        <v>1</v>
      </c>
      <c r="T4">
        <f t="shared" si="2"/>
        <v>2</v>
      </c>
      <c r="U4">
        <f t="shared" si="2"/>
        <v>1</v>
      </c>
      <c r="V4">
        <f t="shared" si="2"/>
        <v>0</v>
      </c>
      <c r="W4">
        <f t="shared" si="2"/>
        <v>0</v>
      </c>
      <c r="X4">
        <f t="shared" si="2"/>
        <v>2</v>
      </c>
      <c r="Y4">
        <f t="shared" si="2"/>
        <v>2</v>
      </c>
      <c r="Z4">
        <f t="shared" si="2"/>
        <v>2</v>
      </c>
    </row>
    <row r="5" spans="1:26">
      <c r="A5">
        <v>4</v>
      </c>
      <c r="B5">
        <v>4</v>
      </c>
      <c r="C5">
        <v>4</v>
      </c>
      <c r="D5">
        <v>4</v>
      </c>
      <c r="E5">
        <v>4</v>
      </c>
      <c r="F5">
        <v>3</v>
      </c>
      <c r="G5">
        <v>5</v>
      </c>
      <c r="H5">
        <v>5</v>
      </c>
      <c r="I5">
        <v>3</v>
      </c>
      <c r="J5">
        <v>4</v>
      </c>
      <c r="K5">
        <v>3</v>
      </c>
      <c r="P5" t="s">
        <v>24</v>
      </c>
      <c r="Q5">
        <f>COUNTIF(B2:B11,4)</f>
        <v>5</v>
      </c>
      <c r="R5">
        <f t="shared" ref="R5:Z5" si="3">COUNTIF(C2:C11,4)</f>
        <v>6</v>
      </c>
      <c r="S5">
        <f t="shared" si="3"/>
        <v>6</v>
      </c>
      <c r="T5">
        <f t="shared" si="3"/>
        <v>4</v>
      </c>
      <c r="U5">
        <f t="shared" si="3"/>
        <v>6</v>
      </c>
      <c r="V5">
        <f t="shared" si="3"/>
        <v>5</v>
      </c>
      <c r="W5">
        <f t="shared" si="3"/>
        <v>2</v>
      </c>
      <c r="X5">
        <f t="shared" si="3"/>
        <v>5</v>
      </c>
      <c r="Y5">
        <f t="shared" si="3"/>
        <v>5</v>
      </c>
      <c r="Z5">
        <f t="shared" si="3"/>
        <v>3</v>
      </c>
    </row>
    <row r="6" spans="1:26">
      <c r="A6">
        <v>5</v>
      </c>
      <c r="B6">
        <v>4</v>
      </c>
      <c r="C6">
        <v>4</v>
      </c>
      <c r="D6">
        <v>4</v>
      </c>
      <c r="E6">
        <v>5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P6" t="s">
        <v>25</v>
      </c>
      <c r="Q6">
        <f>COUNTIF(B2:B11,5)</f>
        <v>5</v>
      </c>
      <c r="R6">
        <f t="shared" ref="R6:X6" si="4">COUNTIF(C2:C11,5)</f>
        <v>3</v>
      </c>
      <c r="S6">
        <f t="shared" si="4"/>
        <v>3</v>
      </c>
      <c r="T6">
        <f t="shared" si="4"/>
        <v>4</v>
      </c>
      <c r="U6">
        <f t="shared" si="4"/>
        <v>3</v>
      </c>
      <c r="V6">
        <f t="shared" si="4"/>
        <v>4</v>
      </c>
      <c r="W6">
        <f t="shared" si="4"/>
        <v>7</v>
      </c>
      <c r="X6">
        <f t="shared" si="4"/>
        <v>3</v>
      </c>
      <c r="Y6">
        <f>COUNTIF(J2:J11,5)</f>
        <v>3</v>
      </c>
      <c r="Z6">
        <f>COUNTIF(K2:K11,5)</f>
        <v>5</v>
      </c>
    </row>
    <row r="7" spans="1:26">
      <c r="A7">
        <v>6</v>
      </c>
      <c r="B7">
        <v>5</v>
      </c>
      <c r="C7">
        <v>4</v>
      </c>
      <c r="D7">
        <v>3</v>
      </c>
      <c r="E7">
        <v>3</v>
      </c>
      <c r="F7">
        <v>4</v>
      </c>
      <c r="G7">
        <v>4</v>
      </c>
      <c r="H7">
        <v>5</v>
      </c>
      <c r="I7">
        <v>5</v>
      </c>
      <c r="J7">
        <v>3</v>
      </c>
      <c r="K7">
        <v>4</v>
      </c>
    </row>
    <row r="8" spans="1:26">
      <c r="A8">
        <v>7</v>
      </c>
      <c r="B8">
        <v>5</v>
      </c>
      <c r="C8">
        <v>5</v>
      </c>
      <c r="D8">
        <v>4</v>
      </c>
      <c r="E8">
        <v>5</v>
      </c>
      <c r="F8">
        <v>4</v>
      </c>
      <c r="G8">
        <v>5</v>
      </c>
      <c r="H8">
        <v>5</v>
      </c>
      <c r="I8">
        <v>4</v>
      </c>
      <c r="J8">
        <v>5</v>
      </c>
      <c r="K8">
        <v>5</v>
      </c>
    </row>
    <row r="9" spans="1:26">
      <c r="A9">
        <v>8</v>
      </c>
      <c r="B9">
        <v>4</v>
      </c>
      <c r="C9">
        <v>3</v>
      </c>
      <c r="D9">
        <v>5</v>
      </c>
      <c r="E9">
        <v>5</v>
      </c>
      <c r="F9">
        <v>5</v>
      </c>
      <c r="G9">
        <v>4</v>
      </c>
      <c r="H9">
        <v>4</v>
      </c>
      <c r="I9">
        <v>5</v>
      </c>
      <c r="J9">
        <v>5</v>
      </c>
      <c r="K9">
        <v>4</v>
      </c>
    </row>
    <row r="10" spans="1:26">
      <c r="A10">
        <v>9</v>
      </c>
      <c r="B10">
        <v>4</v>
      </c>
      <c r="C10">
        <v>4</v>
      </c>
      <c r="D10">
        <v>5</v>
      </c>
      <c r="E10">
        <v>3</v>
      </c>
      <c r="F10">
        <v>4</v>
      </c>
      <c r="G10">
        <v>4</v>
      </c>
      <c r="H10">
        <v>5</v>
      </c>
      <c r="I10">
        <v>4</v>
      </c>
      <c r="J10">
        <v>5</v>
      </c>
      <c r="K10">
        <v>5</v>
      </c>
    </row>
    <row r="11" spans="1:26">
      <c r="A11">
        <v>10</v>
      </c>
      <c r="B11">
        <v>5</v>
      </c>
      <c r="C11">
        <v>5</v>
      </c>
      <c r="D11">
        <v>4</v>
      </c>
      <c r="E11">
        <v>5</v>
      </c>
      <c r="F11">
        <v>4</v>
      </c>
      <c r="G11">
        <v>4</v>
      </c>
      <c r="H11">
        <v>5</v>
      </c>
      <c r="I11">
        <v>4</v>
      </c>
      <c r="J11">
        <v>4</v>
      </c>
      <c r="K11">
        <v>5</v>
      </c>
    </row>
    <row r="12" spans="1:26">
      <c r="A12" s="2" t="s">
        <v>2</v>
      </c>
      <c r="B12">
        <f t="shared" ref="B12:K12" si="5">AVERAGE(B2:B11)</f>
        <v>4.5</v>
      </c>
      <c r="C12">
        <f t="shared" si="5"/>
        <v>4.2</v>
      </c>
      <c r="D12">
        <f t="shared" si="5"/>
        <v>4.2</v>
      </c>
      <c r="E12">
        <f t="shared" si="5"/>
        <v>4.2</v>
      </c>
      <c r="F12">
        <f t="shared" si="5"/>
        <v>4.2</v>
      </c>
      <c r="G12">
        <f t="shared" si="5"/>
        <v>4.2</v>
      </c>
      <c r="H12">
        <f t="shared" si="5"/>
        <v>4.5</v>
      </c>
      <c r="I12">
        <f t="shared" si="5"/>
        <v>4.0999999999999996</v>
      </c>
      <c r="J12">
        <f t="shared" si="5"/>
        <v>4.0999999999999996</v>
      </c>
      <c r="K12">
        <f t="shared" si="5"/>
        <v>4.3</v>
      </c>
    </row>
    <row r="13" spans="1:26">
      <c r="A13" s="2" t="s">
        <v>3</v>
      </c>
      <c r="B13">
        <f t="shared" ref="B13:K13" si="6">STDEV(B2:B11)</f>
        <v>0.52704627669472992</v>
      </c>
      <c r="C13">
        <f t="shared" si="6"/>
        <v>0.63245553203367533</v>
      </c>
      <c r="D13">
        <f t="shared" si="6"/>
        <v>0.63245553203367533</v>
      </c>
      <c r="E13">
        <f t="shared" si="6"/>
        <v>0.78881063774661508</v>
      </c>
      <c r="F13">
        <f t="shared" si="6"/>
        <v>0.63245553203367533</v>
      </c>
      <c r="G13">
        <f t="shared" si="6"/>
        <v>0.91893658347268103</v>
      </c>
      <c r="H13">
        <f t="shared" si="6"/>
        <v>0.97182531580755005</v>
      </c>
      <c r="I13">
        <f t="shared" si="6"/>
        <v>0.73786478737262229</v>
      </c>
      <c r="J13">
        <f t="shared" si="6"/>
        <v>0.73786478737262229</v>
      </c>
      <c r="K13">
        <f t="shared" si="6"/>
        <v>0.82327260234856425</v>
      </c>
    </row>
    <row r="16" spans="1:26">
      <c r="C16" t="s">
        <v>26</v>
      </c>
    </row>
    <row r="17" spans="1:5">
      <c r="A17" s="2"/>
      <c r="C17" s="2" t="s">
        <v>2</v>
      </c>
      <c r="D17">
        <f>AVERAGE(D12:M12)</f>
        <v>4.2249999999999996</v>
      </c>
    </row>
    <row r="18" spans="1:5">
      <c r="A18" s="2"/>
      <c r="C18" s="2" t="s">
        <v>3</v>
      </c>
      <c r="D18">
        <f>AVERAGE(D13:M13)</f>
        <v>0.78043572227350066</v>
      </c>
    </row>
    <row r="19" spans="1:5">
      <c r="A19" s="2"/>
    </row>
    <row r="20" spans="1:5" ht="16" thickBot="1">
      <c r="C20" t="s">
        <v>49</v>
      </c>
    </row>
    <row r="21" spans="1:5" ht="16" thickTop="1">
      <c r="A21" s="20" t="s">
        <v>1</v>
      </c>
      <c r="B21" s="55" t="s">
        <v>46</v>
      </c>
      <c r="C21" s="55"/>
      <c r="D21" s="55" t="s">
        <v>47</v>
      </c>
      <c r="E21" s="56"/>
    </row>
    <row r="22" spans="1:5" ht="119" customHeight="1">
      <c r="A22" s="21">
        <v>1</v>
      </c>
      <c r="B22" s="22" t="s">
        <v>50</v>
      </c>
      <c r="C22" s="23"/>
      <c r="D22" s="24" t="s">
        <v>51</v>
      </c>
      <c r="E22" s="25" t="s">
        <v>52</v>
      </c>
    </row>
    <row r="23" spans="1:5" ht="67" customHeight="1">
      <c r="A23" s="21">
        <v>2</v>
      </c>
      <c r="B23" s="18" t="s">
        <v>53</v>
      </c>
      <c r="C23" s="23"/>
      <c r="D23" s="18" t="s">
        <v>54</v>
      </c>
      <c r="E23" s="26"/>
    </row>
    <row r="24" spans="1:5" ht="52" customHeight="1">
      <c r="A24" s="21">
        <v>3</v>
      </c>
      <c r="B24" s="27" t="s">
        <v>55</v>
      </c>
      <c r="C24" s="23"/>
      <c r="D24" s="24" t="s">
        <v>56</v>
      </c>
      <c r="E24" s="26"/>
    </row>
    <row r="25" spans="1:5" ht="104" customHeight="1">
      <c r="A25" s="21">
        <v>4</v>
      </c>
      <c r="B25" s="28" t="s">
        <v>57</v>
      </c>
      <c r="C25" s="24" t="s">
        <v>58</v>
      </c>
      <c r="D25" s="28" t="s">
        <v>59</v>
      </c>
      <c r="E25" s="29" t="s">
        <v>60</v>
      </c>
    </row>
    <row r="26" spans="1:5" ht="84" customHeight="1">
      <c r="A26" s="21">
        <v>5</v>
      </c>
      <c r="B26" s="18" t="s">
        <v>61</v>
      </c>
      <c r="C26" s="23"/>
      <c r="D26" s="19" t="s">
        <v>62</v>
      </c>
      <c r="E26" s="26"/>
    </row>
    <row r="27" spans="1:5" ht="102" customHeight="1">
      <c r="A27" s="21">
        <v>6</v>
      </c>
      <c r="B27" s="24" t="s">
        <v>65</v>
      </c>
      <c r="C27" s="24"/>
      <c r="D27" s="24" t="s">
        <v>66</v>
      </c>
      <c r="E27" s="25" t="s">
        <v>67</v>
      </c>
    </row>
    <row r="28" spans="1:5" ht="120" customHeight="1">
      <c r="A28" s="21">
        <v>7</v>
      </c>
      <c r="B28" s="30" t="s">
        <v>68</v>
      </c>
      <c r="C28" s="31"/>
      <c r="D28" s="24" t="s">
        <v>69</v>
      </c>
      <c r="E28" s="26"/>
    </row>
    <row r="29" spans="1:5" ht="100" customHeight="1">
      <c r="A29" s="21">
        <v>8</v>
      </c>
      <c r="B29" s="24" t="s">
        <v>63</v>
      </c>
      <c r="C29" s="23"/>
      <c r="D29" s="24" t="s">
        <v>64</v>
      </c>
      <c r="E29" s="26"/>
    </row>
    <row r="30" spans="1:5" ht="136">
      <c r="A30" s="21">
        <v>9</v>
      </c>
      <c r="B30" s="32" t="s">
        <v>70</v>
      </c>
      <c r="C30" s="23"/>
      <c r="D30" s="33" t="s">
        <v>71</v>
      </c>
      <c r="E30" s="26"/>
    </row>
    <row r="31" spans="1:5" ht="43" customHeight="1" thickBot="1">
      <c r="A31" s="34">
        <v>10</v>
      </c>
      <c r="B31" s="35" t="s">
        <v>72</v>
      </c>
      <c r="C31" s="35" t="s">
        <v>73</v>
      </c>
      <c r="D31" s="35" t="s">
        <v>74</v>
      </c>
      <c r="E31" s="36" t="s">
        <v>75</v>
      </c>
    </row>
    <row r="32" spans="1:5" ht="16" thickTop="1"/>
  </sheetData>
  <mergeCells count="2">
    <mergeCell ref="D21:E21"/>
    <mergeCell ref="B21:C21"/>
  </mergeCells>
  <phoneticPr fontId="1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tabSelected="1" topLeftCell="A8" zoomScale="138" workbookViewId="0">
      <selection activeCell="Y17" sqref="Y17"/>
    </sheetView>
  </sheetViews>
  <sheetFormatPr baseColWidth="10" defaultColWidth="8.83203125" defaultRowHeight="15"/>
  <cols>
    <col min="1" max="1" width="18.33203125" customWidth="1"/>
    <col min="2" max="3" width="12.5" customWidth="1"/>
    <col min="4" max="4" width="10.5" bestFit="1" customWidth="1"/>
    <col min="5" max="5" width="12.83203125" customWidth="1"/>
    <col min="6" max="6" width="10.5" bestFit="1" customWidth="1"/>
    <col min="7" max="7" width="13.83203125" customWidth="1"/>
    <col min="8" max="8" width="12.83203125" customWidth="1"/>
    <col min="9" max="9" width="14.6640625" customWidth="1"/>
    <col min="10" max="10" width="11" customWidth="1"/>
    <col min="11" max="11" width="16.33203125" customWidth="1"/>
    <col min="12" max="12" width="10.5" customWidth="1"/>
  </cols>
  <sheetData>
    <row r="1" spans="1:21">
      <c r="B1" s="58" t="s">
        <v>41</v>
      </c>
      <c r="C1" s="58"/>
      <c r="D1" s="58" t="s">
        <v>42</v>
      </c>
      <c r="E1" s="58"/>
      <c r="F1" s="58" t="s">
        <v>43</v>
      </c>
      <c r="G1" s="58"/>
      <c r="H1" s="58" t="s">
        <v>44</v>
      </c>
      <c r="I1" s="58"/>
      <c r="J1" s="58" t="s">
        <v>45</v>
      </c>
      <c r="K1" s="58"/>
      <c r="L1" s="58" t="s">
        <v>48</v>
      </c>
      <c r="M1" s="58"/>
      <c r="N1" s="58" t="s">
        <v>87</v>
      </c>
      <c r="O1" s="58"/>
      <c r="P1" s="59" t="s">
        <v>88</v>
      </c>
      <c r="Q1" s="59"/>
      <c r="R1" s="59" t="s">
        <v>89</v>
      </c>
      <c r="S1" s="59"/>
    </row>
    <row r="2" spans="1:21">
      <c r="A2" s="12" t="s">
        <v>1</v>
      </c>
      <c r="B2" s="6" t="s">
        <v>28</v>
      </c>
      <c r="C2" s="11" t="s">
        <v>33</v>
      </c>
      <c r="D2" s="6" t="s">
        <v>28</v>
      </c>
      <c r="E2" s="11" t="s">
        <v>33</v>
      </c>
      <c r="F2" s="6" t="s">
        <v>28</v>
      </c>
      <c r="G2" s="11" t="s">
        <v>33</v>
      </c>
      <c r="H2" s="6" t="s">
        <v>28</v>
      </c>
      <c r="I2" s="11" t="s">
        <v>33</v>
      </c>
      <c r="J2" s="6" t="s">
        <v>28</v>
      </c>
      <c r="K2" s="11" t="s">
        <v>33</v>
      </c>
      <c r="L2" s="6" t="s">
        <v>28</v>
      </c>
      <c r="M2" s="11" t="s">
        <v>33</v>
      </c>
      <c r="N2" s="6" t="s">
        <v>28</v>
      </c>
      <c r="O2" s="11" t="s">
        <v>33</v>
      </c>
      <c r="P2" s="14" t="s">
        <v>28</v>
      </c>
      <c r="Q2" s="15" t="s">
        <v>33</v>
      </c>
      <c r="R2" s="14" t="s">
        <v>28</v>
      </c>
      <c r="S2" s="15" t="s">
        <v>33</v>
      </c>
    </row>
    <row r="3" spans="1:21">
      <c r="A3" s="6">
        <v>1</v>
      </c>
      <c r="B3" s="6">
        <v>1</v>
      </c>
      <c r="C3" s="11">
        <v>5</v>
      </c>
      <c r="D3" s="6">
        <v>1</v>
      </c>
      <c r="E3" s="11">
        <v>4</v>
      </c>
      <c r="F3" s="6">
        <v>1</v>
      </c>
      <c r="G3" s="11">
        <v>5</v>
      </c>
      <c r="H3" s="6">
        <v>1</v>
      </c>
      <c r="I3" s="11">
        <v>5</v>
      </c>
      <c r="J3" s="6">
        <v>1</v>
      </c>
      <c r="K3" s="11">
        <v>4</v>
      </c>
      <c r="L3" s="6">
        <v>1</v>
      </c>
      <c r="M3" s="11">
        <v>5</v>
      </c>
      <c r="N3" s="6">
        <v>0</v>
      </c>
      <c r="O3" s="11">
        <v>1</v>
      </c>
      <c r="P3" s="16">
        <v>1</v>
      </c>
      <c r="Q3" s="17">
        <v>5</v>
      </c>
      <c r="R3" s="16">
        <v>1</v>
      </c>
      <c r="S3" s="17">
        <v>5</v>
      </c>
    </row>
    <row r="4" spans="1:21">
      <c r="A4" s="6">
        <v>2</v>
      </c>
      <c r="B4" s="6">
        <v>1</v>
      </c>
      <c r="C4" s="11">
        <v>3</v>
      </c>
      <c r="D4" s="6">
        <v>1</v>
      </c>
      <c r="E4" s="11">
        <v>5</v>
      </c>
      <c r="F4" s="6">
        <v>1</v>
      </c>
      <c r="G4" s="11">
        <v>5</v>
      </c>
      <c r="H4" s="6">
        <v>1</v>
      </c>
      <c r="I4" s="11">
        <v>5</v>
      </c>
      <c r="J4" s="6">
        <v>0</v>
      </c>
      <c r="K4" s="11">
        <v>1</v>
      </c>
      <c r="L4" s="6">
        <v>1</v>
      </c>
      <c r="M4" s="11">
        <v>5</v>
      </c>
      <c r="N4" s="6">
        <v>1</v>
      </c>
      <c r="O4" s="11">
        <v>5</v>
      </c>
      <c r="P4" s="16">
        <v>1</v>
      </c>
      <c r="Q4" s="17">
        <v>5</v>
      </c>
      <c r="R4" s="16">
        <v>1</v>
      </c>
      <c r="S4" s="17">
        <v>3</v>
      </c>
    </row>
    <row r="5" spans="1:21">
      <c r="A5" s="6">
        <v>3</v>
      </c>
      <c r="B5" s="6">
        <v>1</v>
      </c>
      <c r="C5" s="11">
        <v>5</v>
      </c>
      <c r="D5" s="6">
        <v>0</v>
      </c>
      <c r="E5" s="11">
        <v>1</v>
      </c>
      <c r="F5" s="6">
        <v>1</v>
      </c>
      <c r="G5" s="11">
        <v>5</v>
      </c>
      <c r="H5" s="6">
        <v>1</v>
      </c>
      <c r="I5" s="11">
        <v>5</v>
      </c>
      <c r="J5" s="6">
        <v>1</v>
      </c>
      <c r="K5" s="11">
        <v>5</v>
      </c>
      <c r="L5" s="6">
        <v>1</v>
      </c>
      <c r="M5" s="11">
        <v>3</v>
      </c>
      <c r="N5" s="6">
        <v>0</v>
      </c>
      <c r="O5" s="11">
        <v>1</v>
      </c>
      <c r="P5" s="16">
        <v>1</v>
      </c>
      <c r="Q5" s="17">
        <v>3</v>
      </c>
      <c r="R5" s="16">
        <v>0</v>
      </c>
      <c r="S5" s="17">
        <v>1</v>
      </c>
    </row>
    <row r="6" spans="1:21">
      <c r="A6" s="6">
        <v>4</v>
      </c>
      <c r="B6" s="6">
        <v>1</v>
      </c>
      <c r="C6" s="11">
        <v>5</v>
      </c>
      <c r="D6" s="6">
        <v>1</v>
      </c>
      <c r="E6" s="11">
        <v>5</v>
      </c>
      <c r="F6" s="6">
        <v>0</v>
      </c>
      <c r="G6" s="11">
        <v>3</v>
      </c>
      <c r="H6" s="6">
        <v>1</v>
      </c>
      <c r="I6" s="11">
        <v>5</v>
      </c>
      <c r="J6" s="6">
        <v>0</v>
      </c>
      <c r="K6" s="11">
        <v>1</v>
      </c>
      <c r="L6" s="6">
        <v>1</v>
      </c>
      <c r="M6" s="11">
        <v>5</v>
      </c>
      <c r="N6" s="6">
        <v>1</v>
      </c>
      <c r="O6" s="11">
        <v>4</v>
      </c>
      <c r="P6" s="16">
        <v>0</v>
      </c>
      <c r="Q6" s="17">
        <v>1</v>
      </c>
      <c r="R6" s="16">
        <v>1</v>
      </c>
      <c r="S6" s="17">
        <v>5</v>
      </c>
    </row>
    <row r="7" spans="1:21">
      <c r="A7" s="6">
        <v>5</v>
      </c>
      <c r="B7" s="6">
        <v>1</v>
      </c>
      <c r="C7" s="11">
        <v>5</v>
      </c>
      <c r="D7" s="6">
        <v>1</v>
      </c>
      <c r="E7" s="11">
        <v>5</v>
      </c>
      <c r="F7" s="6">
        <v>1</v>
      </c>
      <c r="G7" s="11">
        <v>5</v>
      </c>
      <c r="H7" s="6">
        <v>1</v>
      </c>
      <c r="I7" s="11">
        <v>5</v>
      </c>
      <c r="J7" s="6">
        <v>1</v>
      </c>
      <c r="K7" s="11">
        <v>5</v>
      </c>
      <c r="L7" s="6">
        <v>1</v>
      </c>
      <c r="M7" s="11">
        <v>5</v>
      </c>
      <c r="N7" s="6">
        <v>1</v>
      </c>
      <c r="O7" s="11">
        <v>5</v>
      </c>
      <c r="P7" s="16">
        <v>1</v>
      </c>
      <c r="Q7" s="17">
        <v>5</v>
      </c>
      <c r="R7" s="16">
        <v>1</v>
      </c>
      <c r="S7" s="17">
        <v>5</v>
      </c>
    </row>
    <row r="8" spans="1:21">
      <c r="A8" s="6">
        <v>6</v>
      </c>
      <c r="B8" s="6">
        <v>1</v>
      </c>
      <c r="C8" s="11">
        <v>5</v>
      </c>
      <c r="D8" s="6">
        <v>1</v>
      </c>
      <c r="E8" s="11">
        <v>5</v>
      </c>
      <c r="F8" s="6">
        <v>1</v>
      </c>
      <c r="G8" s="11">
        <v>4</v>
      </c>
      <c r="H8" s="6">
        <v>1</v>
      </c>
      <c r="I8" s="11">
        <v>5</v>
      </c>
      <c r="J8" s="6">
        <v>1</v>
      </c>
      <c r="K8" s="11">
        <v>5</v>
      </c>
      <c r="L8" s="6">
        <v>1</v>
      </c>
      <c r="M8" s="11">
        <v>5</v>
      </c>
      <c r="N8" s="6">
        <v>1</v>
      </c>
      <c r="O8" s="11">
        <v>4</v>
      </c>
      <c r="P8" s="16">
        <v>0</v>
      </c>
      <c r="Q8" s="17">
        <v>1</v>
      </c>
      <c r="R8" s="16">
        <v>1</v>
      </c>
      <c r="S8" s="17">
        <v>5</v>
      </c>
    </row>
    <row r="9" spans="1:21">
      <c r="A9" s="6">
        <v>7</v>
      </c>
      <c r="B9" s="6">
        <v>1</v>
      </c>
      <c r="C9" s="11">
        <v>5</v>
      </c>
      <c r="D9" s="6">
        <v>1</v>
      </c>
      <c r="E9" s="11">
        <v>5</v>
      </c>
      <c r="F9" s="6">
        <v>1</v>
      </c>
      <c r="G9" s="11">
        <v>4</v>
      </c>
      <c r="H9" s="6">
        <v>1</v>
      </c>
      <c r="I9" s="11">
        <v>5</v>
      </c>
      <c r="J9" s="6">
        <v>1</v>
      </c>
      <c r="K9" s="11">
        <v>3</v>
      </c>
      <c r="L9" s="6">
        <v>1</v>
      </c>
      <c r="M9" s="11">
        <v>4</v>
      </c>
      <c r="N9" s="6">
        <v>1</v>
      </c>
      <c r="O9" s="11">
        <v>5</v>
      </c>
      <c r="P9" s="16">
        <v>1</v>
      </c>
      <c r="Q9" s="17">
        <v>5</v>
      </c>
      <c r="R9" s="16">
        <v>1</v>
      </c>
      <c r="S9" s="17">
        <v>5</v>
      </c>
    </row>
    <row r="10" spans="1:21">
      <c r="A10" s="6">
        <v>8</v>
      </c>
      <c r="B10" s="6">
        <v>1</v>
      </c>
      <c r="C10" s="11">
        <v>5</v>
      </c>
      <c r="D10" s="6">
        <v>1</v>
      </c>
      <c r="E10" s="11">
        <v>4</v>
      </c>
      <c r="F10" s="6">
        <v>1</v>
      </c>
      <c r="G10" s="11">
        <v>5</v>
      </c>
      <c r="H10" s="6">
        <v>1</v>
      </c>
      <c r="I10" s="11">
        <v>4</v>
      </c>
      <c r="J10" s="6">
        <v>1</v>
      </c>
      <c r="K10" s="11">
        <v>3</v>
      </c>
      <c r="L10" s="6">
        <v>1</v>
      </c>
      <c r="M10" s="11">
        <v>5</v>
      </c>
      <c r="N10" s="6">
        <v>1</v>
      </c>
      <c r="O10" s="11">
        <v>4</v>
      </c>
      <c r="P10" s="16">
        <v>1</v>
      </c>
      <c r="Q10" s="17">
        <v>4</v>
      </c>
      <c r="R10" s="16">
        <v>1</v>
      </c>
      <c r="S10" s="17">
        <v>5</v>
      </c>
    </row>
    <row r="11" spans="1:21">
      <c r="A11" s="6">
        <v>9</v>
      </c>
      <c r="B11" s="6">
        <v>1</v>
      </c>
      <c r="C11" s="11">
        <v>5</v>
      </c>
      <c r="D11" s="6">
        <v>1</v>
      </c>
      <c r="E11" s="11">
        <v>5</v>
      </c>
      <c r="F11" s="6">
        <v>1</v>
      </c>
      <c r="G11" s="11">
        <v>4</v>
      </c>
      <c r="H11" s="6">
        <v>1</v>
      </c>
      <c r="I11" s="11">
        <v>5</v>
      </c>
      <c r="J11" s="6">
        <v>1</v>
      </c>
      <c r="K11" s="11">
        <v>5</v>
      </c>
      <c r="L11" s="6">
        <v>1</v>
      </c>
      <c r="M11" s="11">
        <v>5</v>
      </c>
      <c r="N11" s="6">
        <v>1</v>
      </c>
      <c r="O11" s="11">
        <v>5</v>
      </c>
      <c r="P11" s="16">
        <v>1</v>
      </c>
      <c r="Q11" s="17">
        <v>5</v>
      </c>
      <c r="R11" s="16">
        <v>1</v>
      </c>
      <c r="S11" s="17">
        <v>5</v>
      </c>
    </row>
    <row r="12" spans="1:21">
      <c r="A12" s="6">
        <v>10</v>
      </c>
      <c r="B12" s="6">
        <v>1</v>
      </c>
      <c r="C12" s="11">
        <v>5</v>
      </c>
      <c r="D12" s="6">
        <v>1</v>
      </c>
      <c r="E12" s="11">
        <v>5</v>
      </c>
      <c r="F12" s="6">
        <v>1</v>
      </c>
      <c r="G12" s="11">
        <v>2</v>
      </c>
      <c r="H12" s="6">
        <v>1</v>
      </c>
      <c r="I12" s="11">
        <v>5</v>
      </c>
      <c r="J12" s="6">
        <v>1</v>
      </c>
      <c r="K12" s="11">
        <v>5</v>
      </c>
      <c r="L12" s="6">
        <v>1</v>
      </c>
      <c r="M12" s="11">
        <v>5</v>
      </c>
      <c r="N12" s="6">
        <v>1</v>
      </c>
      <c r="O12" s="11">
        <v>5</v>
      </c>
      <c r="P12" s="16">
        <v>1</v>
      </c>
      <c r="Q12" s="17">
        <v>4</v>
      </c>
      <c r="R12" s="16">
        <v>1</v>
      </c>
      <c r="S12" s="17">
        <v>5</v>
      </c>
    </row>
    <row r="13" spans="1:21">
      <c r="B13" s="8" t="s">
        <v>29</v>
      </c>
    </row>
    <row r="15" spans="1:21">
      <c r="B15" s="58" t="s">
        <v>41</v>
      </c>
      <c r="C15" s="58"/>
      <c r="D15" s="58" t="s">
        <v>42</v>
      </c>
      <c r="E15" s="58"/>
      <c r="F15" s="58" t="s">
        <v>43</v>
      </c>
      <c r="G15" s="58"/>
      <c r="H15" s="58" t="s">
        <v>44</v>
      </c>
      <c r="I15" s="58"/>
      <c r="J15" s="58" t="s">
        <v>45</v>
      </c>
      <c r="K15" s="58"/>
      <c r="L15" s="58" t="s">
        <v>48</v>
      </c>
      <c r="M15" s="58"/>
      <c r="N15" s="58" t="s">
        <v>87</v>
      </c>
      <c r="O15" s="58"/>
      <c r="P15" s="58" t="s">
        <v>88</v>
      </c>
      <c r="Q15" s="58"/>
      <c r="R15" s="58" t="s">
        <v>89</v>
      </c>
      <c r="S15" s="58"/>
      <c r="T15" s="57" t="s">
        <v>34</v>
      </c>
      <c r="U15" s="57"/>
    </row>
    <row r="16" spans="1:21">
      <c r="B16" s="6" t="s">
        <v>7</v>
      </c>
      <c r="C16" s="6" t="s">
        <v>8</v>
      </c>
      <c r="D16" s="6" t="s">
        <v>7</v>
      </c>
      <c r="E16" s="6" t="s">
        <v>8</v>
      </c>
      <c r="F16" s="6" t="s">
        <v>7</v>
      </c>
      <c r="G16" s="6" t="s">
        <v>8</v>
      </c>
      <c r="H16" s="6" t="s">
        <v>7</v>
      </c>
      <c r="I16" s="6" t="s">
        <v>8</v>
      </c>
      <c r="J16" s="6" t="s">
        <v>7</v>
      </c>
      <c r="K16" s="6" t="s">
        <v>8</v>
      </c>
      <c r="L16" s="6" t="s">
        <v>7</v>
      </c>
      <c r="M16" s="6" t="s">
        <v>8</v>
      </c>
      <c r="N16" s="6" t="s">
        <v>7</v>
      </c>
      <c r="O16" s="6" t="s">
        <v>8</v>
      </c>
      <c r="P16" s="6" t="s">
        <v>7</v>
      </c>
      <c r="Q16" s="6" t="s">
        <v>8</v>
      </c>
      <c r="R16" s="6" t="s">
        <v>7</v>
      </c>
      <c r="S16" s="6" t="s">
        <v>8</v>
      </c>
      <c r="T16" s="6" t="s">
        <v>7</v>
      </c>
      <c r="U16" s="6" t="s">
        <v>8</v>
      </c>
    </row>
    <row r="17" spans="1:21">
      <c r="A17" s="9" t="s">
        <v>30</v>
      </c>
      <c r="B17" s="10">
        <f>COUNTIF(B3:B12,1)</f>
        <v>10</v>
      </c>
      <c r="C17" s="6">
        <f>B17*100/10</f>
        <v>100</v>
      </c>
      <c r="D17" s="6">
        <f>COUNTIF(D3:D12,1)</f>
        <v>9</v>
      </c>
      <c r="E17" s="6">
        <f>D17*100/10</f>
        <v>90</v>
      </c>
      <c r="F17" s="6">
        <f>COUNTIF(F3:F12,1)</f>
        <v>9</v>
      </c>
      <c r="G17" s="6">
        <f>F17*100/10</f>
        <v>90</v>
      </c>
      <c r="H17" s="6">
        <f>COUNTIF(H3:H12,1)</f>
        <v>10</v>
      </c>
      <c r="I17" s="6">
        <f>H17*100/10</f>
        <v>100</v>
      </c>
      <c r="J17" s="6">
        <f>COUNTIF(J3:J12,1)</f>
        <v>8</v>
      </c>
      <c r="K17" s="6">
        <f>J17*100/10</f>
        <v>80</v>
      </c>
      <c r="L17" s="6">
        <f>COUNTIF(L3:L12,1)</f>
        <v>10</v>
      </c>
      <c r="M17" s="6">
        <f>L17*100/10</f>
        <v>100</v>
      </c>
      <c r="N17" s="6">
        <f>COUNTIF(N3:N12,1)</f>
        <v>8</v>
      </c>
      <c r="O17" s="6">
        <f>N17*100/10</f>
        <v>80</v>
      </c>
      <c r="P17" s="6">
        <f>COUNTIF(P3:P12,1)</f>
        <v>8</v>
      </c>
      <c r="Q17" s="6">
        <f>P17*100/10</f>
        <v>80</v>
      </c>
      <c r="R17" s="6">
        <f>COUNTIF(R3:R12,1)</f>
        <v>9</v>
      </c>
      <c r="S17" s="6">
        <f>R17*100/10</f>
        <v>90</v>
      </c>
      <c r="T17">
        <f>SUM(J17,L17,N17,P17,R17,H17,F17,D17,B17)</f>
        <v>81</v>
      </c>
      <c r="U17" s="6">
        <f>T17*100/T19</f>
        <v>90</v>
      </c>
    </row>
    <row r="18" spans="1:21">
      <c r="A18" s="9" t="s">
        <v>31</v>
      </c>
      <c r="B18" s="10">
        <f>COUNTIF(B3:B12,0)</f>
        <v>0</v>
      </c>
      <c r="C18" s="6">
        <f>B18*100/6</f>
        <v>0</v>
      </c>
      <c r="D18" s="6">
        <f>COUNTIF(D3:D12,0)</f>
        <v>1</v>
      </c>
      <c r="E18" s="6">
        <f>D18*100/10</f>
        <v>10</v>
      </c>
      <c r="F18" s="6">
        <f>COUNTIF(F3:F12,0)</f>
        <v>1</v>
      </c>
      <c r="G18" s="6">
        <f>F18*100/10</f>
        <v>10</v>
      </c>
      <c r="H18" s="6">
        <f>COUNTIF(H3:H12,0)</f>
        <v>0</v>
      </c>
      <c r="I18" s="6">
        <f>H18*100/10</f>
        <v>0</v>
      </c>
      <c r="J18" s="6">
        <f>COUNTIF(J3:J12,0)</f>
        <v>2</v>
      </c>
      <c r="K18" s="6">
        <f>J18*100/10</f>
        <v>20</v>
      </c>
      <c r="L18" s="6">
        <f>COUNTIF(L3:L12,0)</f>
        <v>0</v>
      </c>
      <c r="M18" s="6">
        <f>L18*100/10</f>
        <v>0</v>
      </c>
      <c r="N18" s="6">
        <f>COUNTIF(N3:N12,0)</f>
        <v>2</v>
      </c>
      <c r="O18" s="6">
        <f>N18*100/10</f>
        <v>20</v>
      </c>
      <c r="P18" s="6">
        <f>COUNTIF(P3:P12,0)</f>
        <v>2</v>
      </c>
      <c r="Q18" s="6">
        <f>P18*100/10</f>
        <v>20</v>
      </c>
      <c r="R18" s="6">
        <f>COUNTIF(R3:R12,0)</f>
        <v>1</v>
      </c>
      <c r="S18" s="6">
        <f>R18*100/10</f>
        <v>10</v>
      </c>
      <c r="T18">
        <f>SUM(J18,L18,N18,P18,R18,H18,F18,D18,B18)</f>
        <v>9</v>
      </c>
      <c r="U18" s="6">
        <f>T18*100/T19</f>
        <v>10</v>
      </c>
    </row>
    <row r="19" spans="1:21" ht="16">
      <c r="A19" s="7" t="s">
        <v>32</v>
      </c>
      <c r="B19" s="6">
        <f>SUM(B17:B18)</f>
        <v>10</v>
      </c>
      <c r="C19" s="6">
        <f t="shared" ref="C19:K19" si="0">SUM(C17:C18)</f>
        <v>100</v>
      </c>
      <c r="D19" s="6">
        <f t="shared" si="0"/>
        <v>10</v>
      </c>
      <c r="E19" s="6">
        <f t="shared" si="0"/>
        <v>100</v>
      </c>
      <c r="F19" s="6">
        <f t="shared" si="0"/>
        <v>10</v>
      </c>
      <c r="G19" s="6">
        <f t="shared" si="0"/>
        <v>100</v>
      </c>
      <c r="H19" s="6">
        <f t="shared" si="0"/>
        <v>10</v>
      </c>
      <c r="I19" s="6">
        <f t="shared" si="0"/>
        <v>100</v>
      </c>
      <c r="J19" s="6">
        <f t="shared" si="0"/>
        <v>10</v>
      </c>
      <c r="K19" s="6">
        <f t="shared" si="0"/>
        <v>100</v>
      </c>
      <c r="L19" s="6">
        <f t="shared" ref="L19:S19" si="1">SUM(L17:L18)</f>
        <v>10</v>
      </c>
      <c r="M19" s="6">
        <f t="shared" si="1"/>
        <v>100</v>
      </c>
      <c r="N19" s="6">
        <f t="shared" si="1"/>
        <v>10</v>
      </c>
      <c r="O19" s="6">
        <f t="shared" si="1"/>
        <v>100</v>
      </c>
      <c r="P19" s="6">
        <f t="shared" si="1"/>
        <v>10</v>
      </c>
      <c r="Q19" s="6">
        <f t="shared" si="1"/>
        <v>100</v>
      </c>
      <c r="R19" s="6">
        <f t="shared" si="1"/>
        <v>10</v>
      </c>
      <c r="S19" s="6">
        <f t="shared" si="1"/>
        <v>100</v>
      </c>
      <c r="T19" s="6">
        <f>SUM(T17:T18)</f>
        <v>90</v>
      </c>
      <c r="U19" s="6">
        <f>SUM(U17:U18)</f>
        <v>100</v>
      </c>
    </row>
    <row r="21" spans="1:21">
      <c r="B21" s="8" t="s">
        <v>33</v>
      </c>
    </row>
    <row r="23" spans="1:21">
      <c r="B23" s="11" t="s">
        <v>41</v>
      </c>
      <c r="C23" s="11" t="s">
        <v>42</v>
      </c>
      <c r="D23" s="11" t="s">
        <v>43</v>
      </c>
      <c r="E23" s="11" t="s">
        <v>44</v>
      </c>
      <c r="F23" s="11" t="s">
        <v>45</v>
      </c>
      <c r="G23" s="11" t="s">
        <v>48</v>
      </c>
      <c r="H23" s="11" t="s">
        <v>87</v>
      </c>
      <c r="I23" s="11" t="s">
        <v>88</v>
      </c>
      <c r="J23" s="11" t="s">
        <v>89</v>
      </c>
      <c r="K23" s="6" t="s">
        <v>34</v>
      </c>
    </row>
    <row r="24" spans="1:21">
      <c r="A24" s="9" t="s">
        <v>2</v>
      </c>
      <c r="B24" s="11">
        <f>AVERAGE(C3:C12)</f>
        <v>4.8</v>
      </c>
      <c r="C24" s="11">
        <f>AVERAGE(E3:E12)</f>
        <v>4.4000000000000004</v>
      </c>
      <c r="D24" s="11">
        <f>AVERAGE(G3:G12)</f>
        <v>4.2</v>
      </c>
      <c r="E24" s="11">
        <f>AVERAGE(I3:I12)</f>
        <v>4.9000000000000004</v>
      </c>
      <c r="F24" s="11">
        <f>AVERAGE(K3:K12)</f>
        <v>3.7</v>
      </c>
      <c r="G24" s="11">
        <f>AVERAGE(M3:M12)</f>
        <v>4.7</v>
      </c>
      <c r="H24" s="11">
        <f>AVERAGE(O3:O12)</f>
        <v>3.9</v>
      </c>
      <c r="I24" s="11">
        <f>AVERAGE(Q3:Q12)</f>
        <v>3.8</v>
      </c>
      <c r="J24" s="11">
        <f>AVERAGE(S3:S12)</f>
        <v>4.4000000000000004</v>
      </c>
      <c r="K24" s="6">
        <f>AVERAGE(B24:J24)</f>
        <v>4.31111111111111</v>
      </c>
    </row>
    <row r="25" spans="1:21">
      <c r="A25" s="9" t="s">
        <v>3</v>
      </c>
      <c r="B25" s="11">
        <f>STDEV(C$3:C$12)</f>
        <v>0.63245553203367533</v>
      </c>
      <c r="C25" s="11">
        <f>STDEV(E$3:E$12)</f>
        <v>1.264911064067352</v>
      </c>
      <c r="D25" s="11">
        <f>STDEV(G$3:G$12)</f>
        <v>1.0327955589886442</v>
      </c>
      <c r="E25" s="11">
        <f>STDEV(I$3:I$12)</f>
        <v>0.31622776601683794</v>
      </c>
      <c r="F25" s="11">
        <f>STDEV(K$3:K$12)</f>
        <v>1.6363916944844767</v>
      </c>
      <c r="G25" s="11">
        <f>STDEV(M$3:M$12)</f>
        <v>0.6749485577105524</v>
      </c>
      <c r="H25" s="11">
        <f>STDEV(O$3:O$12)</f>
        <v>1.5951314818673867</v>
      </c>
      <c r="I25" s="11">
        <f>STDEV(Q$3:Q$12)</f>
        <v>1.6193277068654823</v>
      </c>
      <c r="J25" s="11">
        <f>STDEV(S$3:S$12)</f>
        <v>1.3498971154211061</v>
      </c>
      <c r="K25" s="6">
        <f>AVERAGE(B25:J25)</f>
        <v>1.1246762752728348</v>
      </c>
    </row>
    <row r="30" spans="1:21">
      <c r="A30" s="39" t="s">
        <v>110</v>
      </c>
      <c r="B30" s="40" t="s">
        <v>111</v>
      </c>
      <c r="C30" s="40" t="s">
        <v>112</v>
      </c>
      <c r="D30" s="40" t="s">
        <v>113</v>
      </c>
      <c r="E30" s="40" t="s">
        <v>114</v>
      </c>
      <c r="F30" s="41" t="s">
        <v>115</v>
      </c>
      <c r="I30" s="39" t="s">
        <v>110</v>
      </c>
      <c r="J30" s="40" t="s">
        <v>108</v>
      </c>
      <c r="K30" s="41" t="s">
        <v>109</v>
      </c>
    </row>
    <row r="31" spans="1:21">
      <c r="A31" s="37" t="s">
        <v>41</v>
      </c>
      <c r="B31" s="23">
        <f>COUNTIF(C3:C12,1)</f>
        <v>0</v>
      </c>
      <c r="C31" s="23">
        <f t="shared" ref="C31:C33" si="2">COUNTIF(G1:G10,2)</f>
        <v>0</v>
      </c>
      <c r="D31" s="23">
        <f>COUNTIF(C3:C12,3)</f>
        <v>1</v>
      </c>
      <c r="E31" s="23">
        <f t="shared" ref="E31:E33" si="3">COUNTIF(G1:G10,4)</f>
        <v>2</v>
      </c>
      <c r="F31" s="23">
        <f t="shared" ref="F31:F33" si="4">COUNTIF(G1:G10,5)</f>
        <v>5</v>
      </c>
      <c r="I31" s="37" t="s">
        <v>41</v>
      </c>
      <c r="J31" s="23">
        <v>10</v>
      </c>
      <c r="K31" s="38">
        <v>0</v>
      </c>
    </row>
    <row r="32" spans="1:21">
      <c r="A32" s="37" t="s">
        <v>42</v>
      </c>
      <c r="B32" s="23">
        <f>COUNTIF(E3:E12,1)</f>
        <v>1</v>
      </c>
      <c r="C32" s="23">
        <f t="shared" si="2"/>
        <v>0</v>
      </c>
      <c r="D32" s="23">
        <f>COUNTIF(E3:E12,3)</f>
        <v>0</v>
      </c>
      <c r="E32" s="23">
        <f t="shared" si="3"/>
        <v>3</v>
      </c>
      <c r="F32" s="23">
        <f t="shared" si="4"/>
        <v>5</v>
      </c>
      <c r="I32" s="37" t="s">
        <v>42</v>
      </c>
      <c r="J32" s="23">
        <v>9</v>
      </c>
      <c r="K32" s="38">
        <v>1</v>
      </c>
    </row>
    <row r="33" spans="1:11">
      <c r="A33" s="37" t="s">
        <v>43</v>
      </c>
      <c r="B33" s="23">
        <f>COUNTIF(G3:G12,1)</f>
        <v>0</v>
      </c>
      <c r="C33" s="23">
        <f t="shared" si="2"/>
        <v>1</v>
      </c>
      <c r="D33" s="23">
        <f>COUNTIF(G3:G12,3)</f>
        <v>1</v>
      </c>
      <c r="E33" s="23">
        <f t="shared" si="3"/>
        <v>3</v>
      </c>
      <c r="F33" s="23">
        <f t="shared" si="4"/>
        <v>5</v>
      </c>
      <c r="I33" s="37" t="s">
        <v>43</v>
      </c>
      <c r="J33" s="23">
        <v>9</v>
      </c>
      <c r="K33" s="38">
        <v>1</v>
      </c>
    </row>
    <row r="34" spans="1:11">
      <c r="A34" s="37" t="s">
        <v>44</v>
      </c>
      <c r="B34" s="23">
        <f>COUNTIF(I3:I12,1)</f>
        <v>0</v>
      </c>
      <c r="C34" s="23">
        <f>COUNTIF(I3:I12,2)</f>
        <v>0</v>
      </c>
      <c r="D34" s="23">
        <f>COUNTIF(I3:I12,3)</f>
        <v>0</v>
      </c>
      <c r="E34" s="23">
        <f>COUNTIF(I3:I12,4)</f>
        <v>1</v>
      </c>
      <c r="F34" s="23">
        <f>COUNTIF(I3:I12,5)</f>
        <v>9</v>
      </c>
      <c r="I34" s="37" t="s">
        <v>44</v>
      </c>
      <c r="J34" s="23">
        <v>10</v>
      </c>
      <c r="K34" s="38">
        <v>0</v>
      </c>
    </row>
    <row r="35" spans="1:11">
      <c r="A35" s="37" t="s">
        <v>45</v>
      </c>
      <c r="B35" s="23">
        <f>COUNTIF(K3:K12,1)</f>
        <v>2</v>
      </c>
      <c r="C35" s="23">
        <f>COUNTIF(K3:K12,2)</f>
        <v>0</v>
      </c>
      <c r="D35" s="23">
        <f>COUNTIF(K3:K12,3)</f>
        <v>2</v>
      </c>
      <c r="E35" s="23">
        <f>COUNTIF(K3:K12,4)</f>
        <v>1</v>
      </c>
      <c r="F35" s="23">
        <f>COUNTIF(K3:K12,5)</f>
        <v>5</v>
      </c>
      <c r="I35" s="37" t="s">
        <v>45</v>
      </c>
      <c r="J35" s="23">
        <v>8</v>
      </c>
      <c r="K35" s="38">
        <v>2</v>
      </c>
    </row>
    <row r="36" spans="1:11">
      <c r="A36" s="37" t="s">
        <v>48</v>
      </c>
      <c r="B36" s="23">
        <f>COUNTIF(M3:M12,1)</f>
        <v>0</v>
      </c>
      <c r="C36" s="23">
        <f>COUNTIF(M3:M12,2)</f>
        <v>0</v>
      </c>
      <c r="D36" s="23">
        <f>COUNTIF(M3:M12,3)</f>
        <v>1</v>
      </c>
      <c r="E36" s="23">
        <f>COUNTIF(M3:M12,4)</f>
        <v>1</v>
      </c>
      <c r="F36" s="23">
        <f>COUNTIF(M3:M12,5)</f>
        <v>8</v>
      </c>
      <c r="I36" s="37" t="s">
        <v>48</v>
      </c>
      <c r="J36" s="23">
        <v>10</v>
      </c>
      <c r="K36" s="38">
        <v>0</v>
      </c>
    </row>
    <row r="37" spans="1:11">
      <c r="A37" s="37" t="s">
        <v>87</v>
      </c>
      <c r="B37" s="23">
        <f>COUNTIF(O3:O12,1)</f>
        <v>2</v>
      </c>
      <c r="C37" s="23">
        <f>COUNTIF(O3:O12,2)</f>
        <v>0</v>
      </c>
      <c r="D37" s="23">
        <f>COUNTIF(O3:O12,3)</f>
        <v>0</v>
      </c>
      <c r="E37" s="23">
        <f>COUNTIF(O3:O12,4)</f>
        <v>3</v>
      </c>
      <c r="F37" s="23">
        <f>COUNTIF(O3:O12,5)</f>
        <v>5</v>
      </c>
      <c r="I37" s="37" t="s">
        <v>87</v>
      </c>
      <c r="J37" s="23">
        <v>8</v>
      </c>
      <c r="K37" s="38">
        <v>2</v>
      </c>
    </row>
    <row r="38" spans="1:11">
      <c r="A38" s="37" t="s">
        <v>88</v>
      </c>
      <c r="B38" s="23">
        <f>COUNTIF(Q3:Q12,1)</f>
        <v>2</v>
      </c>
      <c r="C38" s="23">
        <f>COUNTIF(Q3:Q12,2)</f>
        <v>0</v>
      </c>
      <c r="D38" s="23">
        <f>COUNTIF(Q3:Q12,3)</f>
        <v>1</v>
      </c>
      <c r="E38" s="23">
        <f>COUNTIF(Q3:Q12,4)</f>
        <v>2</v>
      </c>
      <c r="F38" s="23">
        <f>COUNTIF(Q3:Q12,5)</f>
        <v>5</v>
      </c>
      <c r="I38" s="37" t="s">
        <v>88</v>
      </c>
      <c r="J38" s="23">
        <v>8</v>
      </c>
      <c r="K38" s="38">
        <v>2</v>
      </c>
    </row>
    <row r="39" spans="1:11">
      <c r="A39" s="42" t="s">
        <v>89</v>
      </c>
      <c r="B39" s="23">
        <f>COUNTIF(S3:S12,1)</f>
        <v>1</v>
      </c>
      <c r="C39" s="23">
        <f>COUNTIF(S3:S12,2)</f>
        <v>0</v>
      </c>
      <c r="D39" s="23">
        <f>COUNTIF(S3:S12,3)</f>
        <v>1</v>
      </c>
      <c r="E39" s="23">
        <f>COUNTIF(S3:S12,4)</f>
        <v>0</v>
      </c>
      <c r="F39" s="23">
        <f>COUNTIF(S3:S12,5)</f>
        <v>8</v>
      </c>
      <c r="I39" s="42" t="s">
        <v>89</v>
      </c>
      <c r="J39" s="43">
        <v>9</v>
      </c>
      <c r="K39" s="44">
        <v>1</v>
      </c>
    </row>
  </sheetData>
  <mergeCells count="19">
    <mergeCell ref="J1:K1"/>
    <mergeCell ref="H1:I1"/>
    <mergeCell ref="F1:G1"/>
    <mergeCell ref="D1:E1"/>
    <mergeCell ref="B1:C1"/>
    <mergeCell ref="B15:C15"/>
    <mergeCell ref="D15:E15"/>
    <mergeCell ref="F15:G15"/>
    <mergeCell ref="H15:I15"/>
    <mergeCell ref="J15:K15"/>
    <mergeCell ref="T15:U15"/>
    <mergeCell ref="L1:M1"/>
    <mergeCell ref="N1:O1"/>
    <mergeCell ref="P1:Q1"/>
    <mergeCell ref="R1:S1"/>
    <mergeCell ref="N15:O15"/>
    <mergeCell ref="P15:Q15"/>
    <mergeCell ref="R15:S15"/>
    <mergeCell ref="L15:M15"/>
  </mergeCells>
  <phoneticPr fontId="14" type="noConversion"/>
  <pageMargins left="0.7" right="0.7" top="0.75" bottom="0.75" header="0.3" footer="0.3"/>
  <pageSetup paperSize="9" orientation="portrait" verticalDpi="0" r:id="rId1"/>
  <drawing r:id="rId2"/>
  <legacyDrawing r:id="rId3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AAFC-5194-FD40-857A-8004B7081C70}">
  <dimension ref="A1:E12"/>
  <sheetViews>
    <sheetView workbookViewId="0">
      <selection activeCell="C4" sqref="C4"/>
    </sheetView>
  </sheetViews>
  <sheetFormatPr baseColWidth="10" defaultRowHeight="15"/>
  <cols>
    <col min="2" max="2" width="33.1640625" customWidth="1"/>
    <col min="3" max="3" width="36.6640625" customWidth="1"/>
    <col min="4" max="4" width="42" customWidth="1"/>
    <col min="5" max="5" width="54.5" customWidth="1"/>
  </cols>
  <sheetData>
    <row r="1" spans="1:5" ht="22" thickTop="1">
      <c r="A1" s="49" t="s">
        <v>1</v>
      </c>
      <c r="B1" s="60" t="s">
        <v>46</v>
      </c>
      <c r="C1" s="60"/>
      <c r="D1" s="60" t="s">
        <v>47</v>
      </c>
      <c r="E1" s="61"/>
    </row>
    <row r="2" spans="1:5" ht="88">
      <c r="A2" s="53">
        <v>1</v>
      </c>
      <c r="B2" s="46" t="s">
        <v>50</v>
      </c>
      <c r="C2" s="45"/>
      <c r="D2" s="46" t="s">
        <v>51</v>
      </c>
      <c r="E2" s="47" t="s">
        <v>52</v>
      </c>
    </row>
    <row r="3" spans="1:5" ht="44">
      <c r="A3" s="53">
        <v>2</v>
      </c>
      <c r="B3" s="46" t="s">
        <v>53</v>
      </c>
      <c r="C3" s="45"/>
      <c r="D3" s="46" t="s">
        <v>54</v>
      </c>
      <c r="E3" s="48"/>
    </row>
    <row r="4" spans="1:5" ht="66">
      <c r="A4" s="53">
        <v>3</v>
      </c>
      <c r="B4" s="46" t="s">
        <v>55</v>
      </c>
      <c r="C4" s="45"/>
      <c r="D4" s="46" t="s">
        <v>56</v>
      </c>
      <c r="E4" s="48"/>
    </row>
    <row r="5" spans="1:5" ht="110">
      <c r="A5" s="53">
        <v>4</v>
      </c>
      <c r="B5" s="46" t="s">
        <v>57</v>
      </c>
      <c r="C5" s="46" t="s">
        <v>58</v>
      </c>
      <c r="D5" s="46" t="s">
        <v>59</v>
      </c>
      <c r="E5" s="47" t="s">
        <v>60</v>
      </c>
    </row>
    <row r="6" spans="1:5" ht="66">
      <c r="A6" s="53">
        <v>5</v>
      </c>
      <c r="B6" s="46" t="s">
        <v>61</v>
      </c>
      <c r="C6" s="45"/>
      <c r="D6" s="45" t="s">
        <v>62</v>
      </c>
      <c r="E6" s="48"/>
    </row>
    <row r="7" spans="1:5" ht="88">
      <c r="A7" s="53">
        <v>6</v>
      </c>
      <c r="B7" s="46" t="s">
        <v>65</v>
      </c>
      <c r="C7" s="46"/>
      <c r="D7" s="46" t="s">
        <v>66</v>
      </c>
      <c r="E7" s="47" t="s">
        <v>67</v>
      </c>
    </row>
    <row r="8" spans="1:5" ht="66">
      <c r="A8" s="53">
        <v>7</v>
      </c>
      <c r="B8" s="50" t="s">
        <v>68</v>
      </c>
      <c r="C8" s="46"/>
      <c r="D8" s="46" t="s">
        <v>69</v>
      </c>
      <c r="E8" s="48"/>
    </row>
    <row r="9" spans="1:5" ht="88">
      <c r="A9" s="53">
        <v>8</v>
      </c>
      <c r="B9" s="46" t="s">
        <v>63</v>
      </c>
      <c r="C9" s="45"/>
      <c r="D9" s="46" t="s">
        <v>64</v>
      </c>
      <c r="E9" s="48"/>
    </row>
    <row r="10" spans="1:5" ht="110">
      <c r="A10" s="53">
        <v>9</v>
      </c>
      <c r="B10" s="46" t="s">
        <v>70</v>
      </c>
      <c r="C10" s="45"/>
      <c r="D10" s="45" t="s">
        <v>71</v>
      </c>
      <c r="E10" s="48"/>
    </row>
    <row r="11" spans="1:5" ht="22" thickBot="1">
      <c r="A11" s="54">
        <v>10</v>
      </c>
      <c r="B11" s="51" t="s">
        <v>72</v>
      </c>
      <c r="C11" s="51" t="s">
        <v>73</v>
      </c>
      <c r="D11" s="51" t="s">
        <v>74</v>
      </c>
      <c r="E11" s="52" t="s">
        <v>75</v>
      </c>
    </row>
    <row r="12" spans="1:5" ht="16" thickTop="1"/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Dados Demográficos-Amostra</vt:lpstr>
      <vt:lpstr>Dicionário de Variáveis</vt:lpstr>
      <vt:lpstr>Questionário Satisfação</vt:lpstr>
      <vt:lpstr>Grelha</vt:lpstr>
      <vt:lpstr>Folha6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Tiago Bento do Ó Rodrigues</cp:lastModifiedBy>
  <dcterms:created xsi:type="dcterms:W3CDTF">2021-12-16T09:48:02Z</dcterms:created>
  <dcterms:modified xsi:type="dcterms:W3CDTF">2023-01-15T00:18:14Z</dcterms:modified>
</cp:coreProperties>
</file>